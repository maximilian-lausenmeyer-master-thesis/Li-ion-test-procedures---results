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Z_Comparison results/"/>
    </mc:Choice>
  </mc:AlternateContent>
  <xr:revisionPtr revIDLastSave="481" documentId="11_AD4DB114E441178AC67DF427C6D6E330683EDF2F" xr6:coauthVersionLast="47" xr6:coauthVersionMax="47" xr10:uidLastSave="{4D704152-2D53-4EC6-B4F3-E1EB464F463B}"/>
  <bookViews>
    <workbookView xWindow="2868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" l="1"/>
  <c r="C37" i="1"/>
  <c r="C31" i="1"/>
  <c r="H31" i="1"/>
  <c r="C35" i="1"/>
  <c r="C34" i="1"/>
</calcChain>
</file>

<file path=xl/sharedStrings.xml><?xml version="1.0" encoding="utf-8"?>
<sst xmlns="http://schemas.openxmlformats.org/spreadsheetml/2006/main" count="19" uniqueCount="18">
  <si>
    <t>Cell #</t>
  </si>
  <si>
    <t>DCIR [mR]</t>
  </si>
  <si>
    <t>Population std. deviation</t>
  </si>
  <si>
    <t>Sample std. deviation</t>
  </si>
  <si>
    <t>Max.</t>
  </si>
  <si>
    <t>Min.</t>
  </si>
  <si>
    <t>Avg.</t>
  </si>
  <si>
    <t>Initial cell voltage [V]</t>
  </si>
  <si>
    <t>Nom. Discharge Cap.</t>
  </si>
  <si>
    <t>Discharge Cap.
(3Z EC0,2 LC0,2)</t>
  </si>
  <si>
    <t>Avg. Discharge Cap.</t>
  </si>
  <si>
    <t>DCIR [mR]
Max.</t>
  </si>
  <si>
    <t>DCIR [mR]
Min.</t>
  </si>
  <si>
    <t>DCIR [mR]
Avg.</t>
  </si>
  <si>
    <t>DCIR [mR]
Nom.</t>
  </si>
  <si>
    <t>Standard deviation</t>
  </si>
  <si>
    <t>Entspricht ca. 0.5%</t>
  </si>
  <si>
    <t>Entspricht ca. 5.8%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</si>
</sst>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14" fontId="1" fillId="2" borderId="0" xfId="0" applyNumberFormat="1" applyFont="1" applyFill="1"/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/>
    <xf numFmtId="0" fontId="1" fillId="2" borderId="2" xfId="0" applyFont="1" applyFill="1" applyBorder="1" applyAlignment="1">
      <alignment wrapText="1"/>
    </xf>
    <xf numFmtId="0" fontId="1" fillId="4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DCIR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Tabelle1!$B$4:$B$27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Tabelle1!$C$4:$C$27</c:f>
              <c:numCache>
                <c:formatCode>General</c:formatCode>
                <c:ptCount val="24"/>
                <c:pt idx="0">
                  <c:v>49.3</c:v>
                </c:pt>
                <c:pt idx="1">
                  <c:v>49.2</c:v>
                </c:pt>
                <c:pt idx="2">
                  <c:v>49.7</c:v>
                </c:pt>
                <c:pt idx="3">
                  <c:v>47.5</c:v>
                </c:pt>
                <c:pt idx="4">
                  <c:v>48.4</c:v>
                </c:pt>
                <c:pt idx="5">
                  <c:v>48</c:v>
                </c:pt>
                <c:pt idx="6">
                  <c:v>48.3</c:v>
                </c:pt>
                <c:pt idx="7">
                  <c:v>48.9</c:v>
                </c:pt>
                <c:pt idx="8">
                  <c:v>50</c:v>
                </c:pt>
                <c:pt idx="9">
                  <c:v>48.5</c:v>
                </c:pt>
                <c:pt idx="10">
                  <c:v>48.3</c:v>
                </c:pt>
                <c:pt idx="11">
                  <c:v>48.8</c:v>
                </c:pt>
                <c:pt idx="12">
                  <c:v>58.5</c:v>
                </c:pt>
                <c:pt idx="13">
                  <c:v>47.9</c:v>
                </c:pt>
                <c:pt idx="14">
                  <c:v>46.1</c:v>
                </c:pt>
                <c:pt idx="15">
                  <c:v>44.8</c:v>
                </c:pt>
                <c:pt idx="16">
                  <c:v>52.9</c:v>
                </c:pt>
                <c:pt idx="17">
                  <c:v>50.7</c:v>
                </c:pt>
                <c:pt idx="18">
                  <c:v>46.8</c:v>
                </c:pt>
                <c:pt idx="19">
                  <c:v>46.2</c:v>
                </c:pt>
                <c:pt idx="20">
                  <c:v>46.6</c:v>
                </c:pt>
                <c:pt idx="21">
                  <c:v>48.4</c:v>
                </c:pt>
                <c:pt idx="22">
                  <c:v>48.7</c:v>
                </c:pt>
                <c:pt idx="23">
                  <c:v>48.9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AE-4C9D-80C9-C046B6D63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39791"/>
        <c:axId val="774042191"/>
      </c:scatterChart>
      <c:scatterChart>
        <c:scatterStyle val="smoothMarker"/>
        <c:varyColors val="0"/>
        <c:ser>
          <c:idx val="3"/>
          <c:order val="1"/>
          <c:tx>
            <c:v>Avg. DCIR</c:v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Tabelle1!$B$4:$B$27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Tabelle1!$F$4:$F$27</c:f>
              <c:numCache>
                <c:formatCode>General</c:formatCode>
                <c:ptCount val="24"/>
                <c:pt idx="0">
                  <c:v>48.8</c:v>
                </c:pt>
                <c:pt idx="1">
                  <c:v>48.8</c:v>
                </c:pt>
                <c:pt idx="2">
                  <c:v>48.8</c:v>
                </c:pt>
                <c:pt idx="3">
                  <c:v>48.8</c:v>
                </c:pt>
                <c:pt idx="4">
                  <c:v>48.8</c:v>
                </c:pt>
                <c:pt idx="5">
                  <c:v>48.8</c:v>
                </c:pt>
                <c:pt idx="6">
                  <c:v>48.8</c:v>
                </c:pt>
                <c:pt idx="7">
                  <c:v>48.8</c:v>
                </c:pt>
                <c:pt idx="8">
                  <c:v>48.8</c:v>
                </c:pt>
                <c:pt idx="9">
                  <c:v>48.8</c:v>
                </c:pt>
                <c:pt idx="10">
                  <c:v>48.8</c:v>
                </c:pt>
                <c:pt idx="11">
                  <c:v>48.8</c:v>
                </c:pt>
                <c:pt idx="12">
                  <c:v>48.8</c:v>
                </c:pt>
                <c:pt idx="13">
                  <c:v>48.8</c:v>
                </c:pt>
                <c:pt idx="14">
                  <c:v>48.8</c:v>
                </c:pt>
                <c:pt idx="15">
                  <c:v>48.8</c:v>
                </c:pt>
                <c:pt idx="16">
                  <c:v>48.8</c:v>
                </c:pt>
                <c:pt idx="17">
                  <c:v>48.8</c:v>
                </c:pt>
                <c:pt idx="18">
                  <c:v>48.8</c:v>
                </c:pt>
                <c:pt idx="19">
                  <c:v>48.8</c:v>
                </c:pt>
                <c:pt idx="20">
                  <c:v>48.8</c:v>
                </c:pt>
                <c:pt idx="21">
                  <c:v>48.8</c:v>
                </c:pt>
                <c:pt idx="22">
                  <c:v>48.8</c:v>
                </c:pt>
                <c:pt idx="23">
                  <c:v>48.8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BAE-4C9D-80C9-C046B6D6330A}"/>
            </c:ext>
          </c:extLst>
        </c:ser>
        <c:ser>
          <c:idx val="4"/>
          <c:order val="2"/>
          <c:tx>
            <c:v>Nom. DCIR</c:v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Tabelle1!$B$4:$B$27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Tabelle1!$G$4:$G$27</c:f>
              <c:numCache>
                <c:formatCode>General</c:formatCode>
                <c:ptCount val="24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45</c:v>
                </c:pt>
                <c:pt idx="17">
                  <c:v>45</c:v>
                </c:pt>
                <c:pt idx="18">
                  <c:v>45</c:v>
                </c:pt>
                <c:pt idx="19">
                  <c:v>45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BAE-4C9D-80C9-C046B6D6330A}"/>
            </c:ext>
          </c:extLst>
        </c:ser>
        <c:ser>
          <c:idx val="5"/>
          <c:order val="3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Tabelle1!$B$4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Tabelle1!$D$4</c:f>
              <c:numCache>
                <c:formatCode>General</c:formatCode>
                <c:ptCount val="1"/>
                <c:pt idx="0">
                  <c:v>58.5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BAE-4C9D-80C9-C046B6D6330A}"/>
            </c:ext>
          </c:extLst>
        </c:ser>
        <c:ser>
          <c:idx val="6"/>
          <c:order val="4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Tabelle1!$B$4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Tabelle1!$E$4</c:f>
              <c:numCache>
                <c:formatCode>General</c:formatCode>
                <c:ptCount val="1"/>
                <c:pt idx="0">
                  <c:v>44.8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BAE-4C9D-80C9-C046B6D6330A}"/>
            </c:ext>
          </c:extLst>
        </c:ser>
        <c:ser>
          <c:idx val="7"/>
          <c:order val="5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8720117502482164E-4"/>
                  <c:y val="2.34276590160365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7C-429F-B7BC-29F4ACD25F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Tabelle1!$B$4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Tabelle1!$F$4</c:f>
              <c:numCache>
                <c:formatCode>General</c:formatCode>
                <c:ptCount val="1"/>
                <c:pt idx="0">
                  <c:v>48.8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3BAE-4C9D-80C9-C046B6D6330A}"/>
            </c:ext>
          </c:extLst>
        </c:ser>
        <c:ser>
          <c:idx val="8"/>
          <c:order val="6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3.0543405590962936E-3"/>
                  <c:y val="2.34276590160365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7C-429F-B7BC-29F4ACD25F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Tabelle1!$B$4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Tabelle1!$G$4</c:f>
              <c:numCache>
                <c:formatCode>General</c:formatCode>
                <c:ptCount val="1"/>
                <c:pt idx="0">
                  <c:v>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3BAE-4C9D-80C9-C046B6D63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39791"/>
        <c:axId val="774042191"/>
      </c:scatterChart>
      <c:valAx>
        <c:axId val="774042191"/>
        <c:scaling>
          <c:orientation val="minMax"/>
          <c:min val="4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DCIR</a:t>
                </a:r>
                <a:r>
                  <a:rPr lang="pt-BR" b="1" baseline="0"/>
                  <a:t> [mR]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74039791"/>
        <c:crosses val="autoZero"/>
        <c:crossBetween val="midCat"/>
      </c:valAx>
      <c:valAx>
        <c:axId val="774039791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cell</a:t>
                </a:r>
                <a:r>
                  <a:rPr lang="pt-BR" b="1" baseline="0"/>
                  <a:t> sample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74042191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3426685026924749"/>
          <c:y val="0.9423583333333333"/>
          <c:w val="0.42795299036840295"/>
          <c:h val="4.25226190476190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Discharge capacity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Tabelle1!$B$4:$B$27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Tabelle1!$H$4:$H$27</c:f>
              <c:numCache>
                <c:formatCode>General</c:formatCode>
                <c:ptCount val="24"/>
                <c:pt idx="0">
                  <c:v>5120.33</c:v>
                </c:pt>
                <c:pt idx="1">
                  <c:v>5093.96</c:v>
                </c:pt>
                <c:pt idx="2">
                  <c:v>5095.83</c:v>
                </c:pt>
                <c:pt idx="3">
                  <c:v>5062.82</c:v>
                </c:pt>
                <c:pt idx="4">
                  <c:v>5100.74</c:v>
                </c:pt>
                <c:pt idx="5">
                  <c:v>5054.1499999999996</c:v>
                </c:pt>
                <c:pt idx="6">
                  <c:v>5170.01</c:v>
                </c:pt>
                <c:pt idx="7">
                  <c:v>5116.6899999999996</c:v>
                </c:pt>
                <c:pt idx="8">
                  <c:v>5138.3599999999997</c:v>
                </c:pt>
                <c:pt idx="9">
                  <c:v>5100.41</c:v>
                </c:pt>
                <c:pt idx="10">
                  <c:v>5130.37</c:v>
                </c:pt>
                <c:pt idx="11">
                  <c:v>5100.59</c:v>
                </c:pt>
                <c:pt idx="12">
                  <c:v>5147.5600000000004</c:v>
                </c:pt>
                <c:pt idx="13">
                  <c:v>5108.13</c:v>
                </c:pt>
                <c:pt idx="14">
                  <c:v>5119.4399999999996</c:v>
                </c:pt>
                <c:pt idx="15">
                  <c:v>5117.0600000000004</c:v>
                </c:pt>
                <c:pt idx="16">
                  <c:v>5098.41</c:v>
                </c:pt>
                <c:pt idx="17">
                  <c:v>5141.2700000000004</c:v>
                </c:pt>
                <c:pt idx="18">
                  <c:v>5102.8900000000003</c:v>
                </c:pt>
                <c:pt idx="19">
                  <c:v>5094.4799999999996</c:v>
                </c:pt>
                <c:pt idx="20">
                  <c:v>5100.5</c:v>
                </c:pt>
                <c:pt idx="21">
                  <c:v>5104.5600000000004</c:v>
                </c:pt>
                <c:pt idx="22">
                  <c:v>5105.92</c:v>
                </c:pt>
                <c:pt idx="23">
                  <c:v>5105.3999999999996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65-479F-A15B-8D632E1D2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39791"/>
        <c:axId val="774042191"/>
      </c:scatterChart>
      <c:scatterChart>
        <c:scatterStyle val="smoothMarker"/>
        <c:varyColors val="0"/>
        <c:ser>
          <c:idx val="8"/>
          <c:order val="1"/>
          <c:tx>
            <c:v>Nom. discharge capacity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5.3214799431677944E-3"/>
                  <c:y val="2.33943025379889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C65-479F-A15B-8D632E1D2C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Tabelle1!$B$4:$B$27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Tabelle1!$I$4:$I$27</c:f>
              <c:numCache>
                <c:formatCode>General</c:formatCode>
                <c:ptCount val="24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5000</c:v>
                </c:pt>
                <c:pt idx="5">
                  <c:v>5000</c:v>
                </c:pt>
                <c:pt idx="6">
                  <c:v>5000</c:v>
                </c:pt>
                <c:pt idx="7">
                  <c:v>5000</c:v>
                </c:pt>
                <c:pt idx="8">
                  <c:v>5000</c:v>
                </c:pt>
                <c:pt idx="9">
                  <c:v>5000</c:v>
                </c:pt>
                <c:pt idx="10">
                  <c:v>5000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5000</c:v>
                </c:pt>
                <c:pt idx="17">
                  <c:v>5000</c:v>
                </c:pt>
                <c:pt idx="18">
                  <c:v>5000</c:v>
                </c:pt>
                <c:pt idx="19">
                  <c:v>5000</c:v>
                </c:pt>
                <c:pt idx="20">
                  <c:v>5000</c:v>
                </c:pt>
                <c:pt idx="21">
                  <c:v>5000</c:v>
                </c:pt>
                <c:pt idx="22">
                  <c:v>5000</c:v>
                </c:pt>
                <c:pt idx="23">
                  <c:v>5000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C65-479F-A15B-8D632E1D2CB4}"/>
            </c:ext>
          </c:extLst>
        </c:ser>
        <c:ser>
          <c:idx val="1"/>
          <c:order val="2"/>
          <c:tx>
            <c:v>Avg. discharge capacity</c:v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2.6135079010824076E-3"/>
                  <c:y val="-2.34276590160366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C65-479F-A15B-8D632E1D2C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Tabelle1!$B$4:$B$27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Tabelle1!$J$4:$J$27</c:f>
              <c:numCache>
                <c:formatCode>General</c:formatCode>
                <c:ptCount val="24"/>
                <c:pt idx="0">
                  <c:v>5109.58</c:v>
                </c:pt>
                <c:pt idx="1">
                  <c:v>5109.58</c:v>
                </c:pt>
                <c:pt idx="2">
                  <c:v>5109.58</c:v>
                </c:pt>
                <c:pt idx="3">
                  <c:v>5109.58</c:v>
                </c:pt>
                <c:pt idx="4">
                  <c:v>5109.58</c:v>
                </c:pt>
                <c:pt idx="5">
                  <c:v>5109.58</c:v>
                </c:pt>
                <c:pt idx="6">
                  <c:v>5109.58</c:v>
                </c:pt>
                <c:pt idx="7">
                  <c:v>5109.58</c:v>
                </c:pt>
                <c:pt idx="8">
                  <c:v>5109.58</c:v>
                </c:pt>
                <c:pt idx="9">
                  <c:v>5109.58</c:v>
                </c:pt>
                <c:pt idx="10">
                  <c:v>5109.58</c:v>
                </c:pt>
                <c:pt idx="11">
                  <c:v>5109.58</c:v>
                </c:pt>
                <c:pt idx="12">
                  <c:v>5109.58</c:v>
                </c:pt>
                <c:pt idx="13">
                  <c:v>5109.58</c:v>
                </c:pt>
                <c:pt idx="14">
                  <c:v>5109.58</c:v>
                </c:pt>
                <c:pt idx="15">
                  <c:v>5109.58</c:v>
                </c:pt>
                <c:pt idx="16">
                  <c:v>5109.58</c:v>
                </c:pt>
                <c:pt idx="17">
                  <c:v>5109.58</c:v>
                </c:pt>
                <c:pt idx="18">
                  <c:v>5109.58</c:v>
                </c:pt>
                <c:pt idx="19">
                  <c:v>5109.58</c:v>
                </c:pt>
                <c:pt idx="20">
                  <c:v>5109.58</c:v>
                </c:pt>
                <c:pt idx="21">
                  <c:v>5109.58</c:v>
                </c:pt>
                <c:pt idx="22">
                  <c:v>5109.58</c:v>
                </c:pt>
                <c:pt idx="23">
                  <c:v>5109.58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C65-479F-A15B-8D632E1D2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39791"/>
        <c:axId val="774042191"/>
      </c:scatterChart>
      <c:valAx>
        <c:axId val="774042191"/>
        <c:scaling>
          <c:orientation val="minMax"/>
          <c:max val="5300"/>
          <c:min val="4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 baseline="0"/>
                  <a:t>Discharge capacity [mAh]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74039791"/>
        <c:crosses val="autoZero"/>
        <c:crossBetween val="midCat"/>
        <c:majorUnit val="50"/>
      </c:valAx>
      <c:valAx>
        <c:axId val="774039791"/>
        <c:scaling>
          <c:orientation val="minMax"/>
          <c:max val="2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cell</a:t>
                </a:r>
                <a:r>
                  <a:rPr lang="pt-BR" b="1" baseline="0"/>
                  <a:t> sample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774042191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917363835581322"/>
          <c:y val="0.94358208195335536"/>
          <c:w val="0.72125813838947073"/>
          <c:h val="3.95762322804682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 alignWithMargins="0"/>
    <c:pageMargins b="0" l="0.23622047244094491" r="0.23622047244094491" t="0" header="0" footer="0"/>
    <c:pageSetup paperSize="28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166407</xdr:colOff>
      <xdr:row>2</xdr:row>
      <xdr:rowOff>25400</xdr:rowOff>
    </xdr:from>
    <xdr:to>
      <xdr:col>24</xdr:col>
      <xdr:colOff>219877</xdr:colOff>
      <xdr:row>27</xdr:row>
      <xdr:rowOff>112400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EF41477-F8D2-4843-8A78-C980EB079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44824</xdr:colOff>
      <xdr:row>31</xdr:row>
      <xdr:rowOff>549089</xdr:rowOff>
    </xdr:from>
    <xdr:to>
      <xdr:col>24</xdr:col>
      <xdr:colOff>44506</xdr:colOff>
      <xdr:row>57</xdr:row>
      <xdr:rowOff>64589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C3D78BAA-9D35-453F-96CD-96E3A102B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7"/>
  <sheetViews>
    <sheetView tabSelected="1" zoomScaleNormal="100" workbookViewId="0">
      <selection activeCell="B9" sqref="B9:H9"/>
    </sheetView>
  </sheetViews>
  <sheetFormatPr baseColWidth="10" defaultColWidth="9.140625" defaultRowHeight="15" x14ac:dyDescent="0.25"/>
  <cols>
    <col min="2" max="2" width="13" customWidth="1"/>
    <col min="3" max="3" width="14.140625" customWidth="1"/>
    <col min="4" max="4" width="16.85546875" customWidth="1"/>
    <col min="5" max="5" width="12.5703125" customWidth="1"/>
    <col min="6" max="7" width="12.42578125" customWidth="1"/>
    <col min="8" max="10" width="16.7109375" style="1" customWidth="1"/>
    <col min="11" max="11" width="17.5703125" customWidth="1"/>
  </cols>
  <sheetData>
    <row r="1" spans="2:11" x14ac:dyDescent="0.25">
      <c r="B1" s="16">
        <v>46061</v>
      </c>
    </row>
    <row r="3" spans="2:11" ht="30" x14ac:dyDescent="0.25">
      <c r="B3" s="10" t="s">
        <v>0</v>
      </c>
      <c r="C3" s="10" t="s">
        <v>1</v>
      </c>
      <c r="D3" s="2" t="s">
        <v>11</v>
      </c>
      <c r="E3" s="2" t="s">
        <v>12</v>
      </c>
      <c r="F3" s="14" t="s">
        <v>13</v>
      </c>
      <c r="G3" s="2" t="s">
        <v>14</v>
      </c>
      <c r="H3" s="2" t="s">
        <v>9</v>
      </c>
      <c r="I3" s="2" t="s">
        <v>8</v>
      </c>
      <c r="J3" s="15" t="s">
        <v>10</v>
      </c>
      <c r="K3" s="2" t="s">
        <v>7</v>
      </c>
    </row>
    <row r="4" spans="2:11" x14ac:dyDescent="0.25">
      <c r="B4" s="20">
        <v>1</v>
      </c>
      <c r="C4" s="20">
        <v>49.3</v>
      </c>
      <c r="D4" s="1">
        <v>58.5</v>
      </c>
      <c r="E4" s="1">
        <v>44.8</v>
      </c>
      <c r="F4" s="1">
        <v>48.8</v>
      </c>
      <c r="G4" s="1">
        <v>45</v>
      </c>
      <c r="H4" s="24">
        <v>5120.33</v>
      </c>
      <c r="I4" s="1">
        <v>5000</v>
      </c>
      <c r="J4" s="1">
        <v>5109.58</v>
      </c>
      <c r="K4" s="1">
        <v>3.9630000000000001</v>
      </c>
    </row>
    <row r="5" spans="2:11" x14ac:dyDescent="0.25">
      <c r="B5" s="20">
        <v>2</v>
      </c>
      <c r="C5" s="20">
        <v>49.2</v>
      </c>
      <c r="D5" s="1">
        <v>58.5</v>
      </c>
      <c r="E5" s="1">
        <v>44.8</v>
      </c>
      <c r="F5" s="1">
        <v>48.8</v>
      </c>
      <c r="G5" s="1">
        <v>45</v>
      </c>
      <c r="H5" s="24">
        <v>5093.96</v>
      </c>
      <c r="I5" s="1">
        <v>5000</v>
      </c>
      <c r="J5" s="1">
        <v>5109.58</v>
      </c>
      <c r="K5" s="1">
        <v>3.9609999999999999</v>
      </c>
    </row>
    <row r="6" spans="2:11" x14ac:dyDescent="0.25">
      <c r="B6" s="20">
        <v>3</v>
      </c>
      <c r="C6" s="20">
        <v>49.7</v>
      </c>
      <c r="D6" s="1">
        <v>58.5</v>
      </c>
      <c r="E6" s="1">
        <v>44.8</v>
      </c>
      <c r="F6" s="1">
        <v>48.8</v>
      </c>
      <c r="G6" s="1">
        <v>45</v>
      </c>
      <c r="H6" s="24">
        <v>5095.83</v>
      </c>
      <c r="I6" s="1">
        <v>5000</v>
      </c>
      <c r="J6" s="1">
        <v>5109.58</v>
      </c>
      <c r="K6" s="1">
        <v>3.968</v>
      </c>
    </row>
    <row r="7" spans="2:11" x14ac:dyDescent="0.25">
      <c r="B7" s="20">
        <v>4</v>
      </c>
      <c r="C7" s="20">
        <v>47.5</v>
      </c>
      <c r="D7" s="1">
        <v>58.5</v>
      </c>
      <c r="E7" s="1">
        <v>44.8</v>
      </c>
      <c r="F7" s="1">
        <v>48.8</v>
      </c>
      <c r="G7" s="1">
        <v>45</v>
      </c>
      <c r="H7" s="24">
        <v>5062.82</v>
      </c>
      <c r="I7" s="1">
        <v>5000</v>
      </c>
      <c r="J7" s="1">
        <v>5109.58</v>
      </c>
      <c r="K7" s="1">
        <v>3.9630000000000001</v>
      </c>
    </row>
    <row r="8" spans="2:11" x14ac:dyDescent="0.25">
      <c r="B8" s="20">
        <v>5</v>
      </c>
      <c r="C8" s="20">
        <v>48.4</v>
      </c>
      <c r="D8" s="1">
        <v>58.5</v>
      </c>
      <c r="E8" s="1">
        <v>44.8</v>
      </c>
      <c r="F8" s="1">
        <v>48.8</v>
      </c>
      <c r="G8" s="1">
        <v>45</v>
      </c>
      <c r="H8" s="24">
        <v>5100.74</v>
      </c>
      <c r="I8" s="1">
        <v>5000</v>
      </c>
      <c r="J8" s="1">
        <v>5109.58</v>
      </c>
      <c r="K8" s="1">
        <v>3.9620000000000002</v>
      </c>
    </row>
    <row r="9" spans="2:11" x14ac:dyDescent="0.25">
      <c r="B9" s="20">
        <v>6</v>
      </c>
      <c r="C9" s="20">
        <v>48</v>
      </c>
      <c r="D9" s="1">
        <v>58.5</v>
      </c>
      <c r="E9" s="1">
        <v>44.8</v>
      </c>
      <c r="F9" s="1">
        <v>48.8</v>
      </c>
      <c r="G9" s="1">
        <v>45</v>
      </c>
      <c r="H9" s="24">
        <v>5054.1499999999996</v>
      </c>
      <c r="I9" s="1">
        <v>5000</v>
      </c>
      <c r="J9" s="1">
        <v>5109.58</v>
      </c>
      <c r="K9" s="1">
        <v>3.9660000000000002</v>
      </c>
    </row>
    <row r="10" spans="2:11" x14ac:dyDescent="0.25">
      <c r="B10" s="19">
        <v>7</v>
      </c>
      <c r="C10" s="19">
        <v>48.3</v>
      </c>
      <c r="D10" s="1">
        <v>58.5</v>
      </c>
      <c r="E10" s="1">
        <v>44.8</v>
      </c>
      <c r="F10" s="1">
        <v>48.8</v>
      </c>
      <c r="G10" s="1">
        <v>45</v>
      </c>
      <c r="H10" s="19">
        <v>5170.01</v>
      </c>
      <c r="I10" s="1">
        <v>5000</v>
      </c>
      <c r="J10" s="1">
        <v>5109.58</v>
      </c>
      <c r="K10" s="1">
        <v>3.96</v>
      </c>
    </row>
    <row r="11" spans="2:11" x14ac:dyDescent="0.25">
      <c r="B11" s="19">
        <v>8</v>
      </c>
      <c r="C11" s="19">
        <v>48.9</v>
      </c>
      <c r="D11" s="1">
        <v>58.5</v>
      </c>
      <c r="E11" s="1">
        <v>44.8</v>
      </c>
      <c r="F11" s="1">
        <v>48.8</v>
      </c>
      <c r="G11" s="1">
        <v>45</v>
      </c>
      <c r="H11" s="19">
        <v>5116.6899999999996</v>
      </c>
      <c r="I11" s="1">
        <v>5000</v>
      </c>
      <c r="J11" s="1">
        <v>5109.58</v>
      </c>
      <c r="K11" s="1">
        <v>3.9609999999999999</v>
      </c>
    </row>
    <row r="12" spans="2:11" x14ac:dyDescent="0.25">
      <c r="B12" s="19">
        <v>9</v>
      </c>
      <c r="C12" s="19">
        <v>50</v>
      </c>
      <c r="D12" s="1">
        <v>58.5</v>
      </c>
      <c r="E12" s="1">
        <v>44.8</v>
      </c>
      <c r="F12" s="1">
        <v>48.8</v>
      </c>
      <c r="G12" s="1">
        <v>45</v>
      </c>
      <c r="H12" s="19">
        <v>5138.3599999999997</v>
      </c>
      <c r="I12" s="1">
        <v>5000</v>
      </c>
      <c r="J12" s="1">
        <v>5109.58</v>
      </c>
      <c r="K12" s="1">
        <v>3.9590000000000001</v>
      </c>
    </row>
    <row r="13" spans="2:11" x14ac:dyDescent="0.25">
      <c r="B13" s="19">
        <v>10</v>
      </c>
      <c r="C13" s="19">
        <v>48.5</v>
      </c>
      <c r="D13" s="1">
        <v>58.5</v>
      </c>
      <c r="E13" s="1">
        <v>44.8</v>
      </c>
      <c r="F13" s="1">
        <v>48.8</v>
      </c>
      <c r="G13" s="1">
        <v>45</v>
      </c>
      <c r="H13" s="19">
        <v>5100.41</v>
      </c>
      <c r="I13" s="1">
        <v>5000</v>
      </c>
      <c r="J13" s="1">
        <v>5109.58</v>
      </c>
      <c r="K13" s="1">
        <v>3.964</v>
      </c>
    </row>
    <row r="14" spans="2:11" x14ac:dyDescent="0.25">
      <c r="B14" s="19">
        <v>11</v>
      </c>
      <c r="C14" s="19">
        <v>48.3</v>
      </c>
      <c r="D14" s="1">
        <v>58.5</v>
      </c>
      <c r="E14" s="1">
        <v>44.8</v>
      </c>
      <c r="F14" s="1">
        <v>48.8</v>
      </c>
      <c r="G14" s="1">
        <v>45</v>
      </c>
      <c r="H14" s="19">
        <v>5130.37</v>
      </c>
      <c r="I14" s="1">
        <v>5000</v>
      </c>
      <c r="J14" s="1">
        <v>5109.58</v>
      </c>
      <c r="K14" s="1">
        <v>3.9630000000000001</v>
      </c>
    </row>
    <row r="15" spans="2:11" x14ac:dyDescent="0.25">
      <c r="B15" s="19">
        <v>12</v>
      </c>
      <c r="C15" s="19">
        <v>48.8</v>
      </c>
      <c r="D15" s="1">
        <v>58.5</v>
      </c>
      <c r="E15" s="1">
        <v>44.8</v>
      </c>
      <c r="F15" s="1">
        <v>48.8</v>
      </c>
      <c r="G15" s="1">
        <v>45</v>
      </c>
      <c r="H15" s="19">
        <v>5100.59</v>
      </c>
      <c r="I15" s="1">
        <v>5000</v>
      </c>
      <c r="J15" s="1">
        <v>5109.58</v>
      </c>
      <c r="K15" s="1">
        <v>3.964</v>
      </c>
    </row>
    <row r="16" spans="2:11" x14ac:dyDescent="0.25">
      <c r="B16" s="18">
        <v>13</v>
      </c>
      <c r="C16" s="18">
        <v>58.5</v>
      </c>
      <c r="D16" s="1">
        <v>58.5</v>
      </c>
      <c r="E16" s="1">
        <v>44.8</v>
      </c>
      <c r="F16" s="1">
        <v>48.8</v>
      </c>
      <c r="G16" s="1">
        <v>45</v>
      </c>
      <c r="H16" s="18">
        <v>5147.5600000000004</v>
      </c>
      <c r="I16" s="1">
        <v>5000</v>
      </c>
      <c r="J16" s="1">
        <v>5109.58</v>
      </c>
      <c r="K16" s="1">
        <v>3.9660000000000002</v>
      </c>
    </row>
    <row r="17" spans="2:11" x14ac:dyDescent="0.25">
      <c r="B17" s="18">
        <v>14</v>
      </c>
      <c r="C17" s="18">
        <v>47.9</v>
      </c>
      <c r="D17" s="1">
        <v>58.5</v>
      </c>
      <c r="E17" s="1">
        <v>44.8</v>
      </c>
      <c r="F17" s="1">
        <v>48.8</v>
      </c>
      <c r="G17" s="1">
        <v>45</v>
      </c>
      <c r="H17" s="18">
        <v>5108.13</v>
      </c>
      <c r="I17" s="1">
        <v>5000</v>
      </c>
      <c r="J17" s="1">
        <v>5109.58</v>
      </c>
      <c r="K17" s="1">
        <v>3.9630000000000001</v>
      </c>
    </row>
    <row r="18" spans="2:11" x14ac:dyDescent="0.25">
      <c r="B18" s="18">
        <v>15</v>
      </c>
      <c r="C18" s="18">
        <v>46.1</v>
      </c>
      <c r="D18" s="1">
        <v>58.5</v>
      </c>
      <c r="E18" s="1">
        <v>44.8</v>
      </c>
      <c r="F18" s="1">
        <v>48.8</v>
      </c>
      <c r="G18" s="1">
        <v>45</v>
      </c>
      <c r="H18" s="18">
        <v>5119.4399999999996</v>
      </c>
      <c r="I18" s="1">
        <v>5000</v>
      </c>
      <c r="J18" s="1">
        <v>5109.58</v>
      </c>
      <c r="K18" s="1">
        <v>3.9580000000000002</v>
      </c>
    </row>
    <row r="19" spans="2:11" x14ac:dyDescent="0.25">
      <c r="B19" s="18">
        <v>16</v>
      </c>
      <c r="C19" s="18">
        <v>44.8</v>
      </c>
      <c r="D19" s="1">
        <v>58.5</v>
      </c>
      <c r="E19" s="1">
        <v>44.8</v>
      </c>
      <c r="F19" s="1">
        <v>48.8</v>
      </c>
      <c r="G19" s="1">
        <v>45</v>
      </c>
      <c r="H19" s="18">
        <v>5117.0600000000004</v>
      </c>
      <c r="I19" s="1">
        <v>5000</v>
      </c>
      <c r="J19" s="1">
        <v>5109.58</v>
      </c>
      <c r="K19" s="1">
        <v>3.9630000000000001</v>
      </c>
    </row>
    <row r="20" spans="2:11" x14ac:dyDescent="0.25">
      <c r="B20" s="18">
        <v>17</v>
      </c>
      <c r="C20" s="18">
        <v>52.9</v>
      </c>
      <c r="D20" s="1">
        <v>58.5</v>
      </c>
      <c r="E20" s="1">
        <v>44.8</v>
      </c>
      <c r="F20" s="1">
        <v>48.8</v>
      </c>
      <c r="G20" s="1">
        <v>45</v>
      </c>
      <c r="H20" s="18">
        <v>5098.41</v>
      </c>
      <c r="I20" s="1">
        <v>5000</v>
      </c>
      <c r="J20" s="1">
        <v>5109.58</v>
      </c>
      <c r="K20" s="1">
        <v>3.9670000000000001</v>
      </c>
    </row>
    <row r="21" spans="2:11" x14ac:dyDescent="0.25">
      <c r="B21" s="18">
        <v>18</v>
      </c>
      <c r="C21" s="18">
        <v>50.7</v>
      </c>
      <c r="D21" s="1">
        <v>58.5</v>
      </c>
      <c r="E21" s="1">
        <v>44.8</v>
      </c>
      <c r="F21" s="1">
        <v>48.8</v>
      </c>
      <c r="G21" s="1">
        <v>45</v>
      </c>
      <c r="H21" s="18">
        <v>5141.2700000000004</v>
      </c>
      <c r="I21" s="1">
        <v>5000</v>
      </c>
      <c r="J21" s="1">
        <v>5109.58</v>
      </c>
      <c r="K21" s="1">
        <v>3.9660000000000002</v>
      </c>
    </row>
    <row r="22" spans="2:11" x14ac:dyDescent="0.25">
      <c r="B22" s="17">
        <v>19</v>
      </c>
      <c r="C22" s="17">
        <v>46.8</v>
      </c>
      <c r="D22" s="1">
        <v>58.5</v>
      </c>
      <c r="E22" s="1">
        <v>44.8</v>
      </c>
      <c r="F22" s="1">
        <v>48.8</v>
      </c>
      <c r="G22" s="1">
        <v>45</v>
      </c>
      <c r="H22" s="17">
        <v>5102.8900000000003</v>
      </c>
      <c r="I22" s="1">
        <v>5000</v>
      </c>
      <c r="J22" s="1">
        <v>5109.58</v>
      </c>
      <c r="K22" s="1">
        <v>3.9609999999999999</v>
      </c>
    </row>
    <row r="23" spans="2:11" x14ac:dyDescent="0.25">
      <c r="B23" s="17">
        <v>20</v>
      </c>
      <c r="C23" s="17">
        <v>46.2</v>
      </c>
      <c r="D23" s="1">
        <v>58.5</v>
      </c>
      <c r="E23" s="1">
        <v>44.8</v>
      </c>
      <c r="F23" s="1">
        <v>48.8</v>
      </c>
      <c r="G23" s="1">
        <v>45</v>
      </c>
      <c r="H23" s="17">
        <v>5094.4799999999996</v>
      </c>
      <c r="I23" s="1">
        <v>5000</v>
      </c>
      <c r="J23" s="1">
        <v>5109.58</v>
      </c>
      <c r="K23" s="1">
        <v>3.9649999999999999</v>
      </c>
    </row>
    <row r="24" spans="2:11" x14ac:dyDescent="0.25">
      <c r="B24" s="17">
        <v>21</v>
      </c>
      <c r="C24" s="17">
        <v>46.6</v>
      </c>
      <c r="D24" s="1">
        <v>58.5</v>
      </c>
      <c r="E24" s="1">
        <v>44.8</v>
      </c>
      <c r="F24" s="1">
        <v>48.8</v>
      </c>
      <c r="G24" s="1">
        <v>45</v>
      </c>
      <c r="H24" s="17">
        <v>5100.5</v>
      </c>
      <c r="I24" s="1">
        <v>5000</v>
      </c>
      <c r="J24" s="1">
        <v>5109.58</v>
      </c>
      <c r="K24" s="1">
        <v>3.964</v>
      </c>
    </row>
    <row r="25" spans="2:11" x14ac:dyDescent="0.25">
      <c r="B25" s="17">
        <v>22</v>
      </c>
      <c r="C25" s="17">
        <v>48.4</v>
      </c>
      <c r="D25" s="1">
        <v>58.5</v>
      </c>
      <c r="E25" s="1">
        <v>44.8</v>
      </c>
      <c r="F25" s="1">
        <v>48.8</v>
      </c>
      <c r="G25" s="1">
        <v>45</v>
      </c>
      <c r="H25" s="17">
        <v>5104.5600000000004</v>
      </c>
      <c r="I25" s="1">
        <v>5000</v>
      </c>
      <c r="J25" s="1">
        <v>5109.58</v>
      </c>
      <c r="K25" s="1">
        <v>3.9620000000000002</v>
      </c>
    </row>
    <row r="26" spans="2:11" x14ac:dyDescent="0.25">
      <c r="B26" s="17">
        <v>23</v>
      </c>
      <c r="C26" s="17">
        <v>48.7</v>
      </c>
      <c r="D26" s="1">
        <v>58.5</v>
      </c>
      <c r="E26" s="1">
        <v>44.8</v>
      </c>
      <c r="F26" s="1">
        <v>48.8</v>
      </c>
      <c r="G26" s="1">
        <v>45</v>
      </c>
      <c r="H26" s="17">
        <v>5105.92</v>
      </c>
      <c r="I26" s="1">
        <v>5000</v>
      </c>
      <c r="J26" s="1">
        <v>5109.58</v>
      </c>
      <c r="K26" s="1">
        <v>3.9609999999999999</v>
      </c>
    </row>
    <row r="27" spans="2:11" x14ac:dyDescent="0.25">
      <c r="B27" s="17">
        <v>24</v>
      </c>
      <c r="C27" s="17">
        <v>48.9</v>
      </c>
      <c r="D27" s="1">
        <v>58.5</v>
      </c>
      <c r="E27" s="1">
        <v>44.8</v>
      </c>
      <c r="F27" s="1">
        <v>48.8</v>
      </c>
      <c r="G27" s="1">
        <v>45</v>
      </c>
      <c r="H27" s="17">
        <v>5105.3999999999996</v>
      </c>
      <c r="I27" s="1">
        <v>5000</v>
      </c>
      <c r="J27" s="1">
        <v>5109.58</v>
      </c>
      <c r="K27" s="1">
        <v>3.96</v>
      </c>
    </row>
    <row r="31" spans="2:11" x14ac:dyDescent="0.25">
      <c r="B31" s="3" t="s">
        <v>6</v>
      </c>
      <c r="C31" s="9">
        <f>AVERAGE(C4:C27)</f>
        <v>48.808333333333337</v>
      </c>
      <c r="D31" s="4"/>
      <c r="E31" s="4"/>
      <c r="F31" s="4"/>
      <c r="G31" s="4"/>
      <c r="H31" s="8">
        <f>AVERAGE(H4:H27)</f>
        <v>5109.5783333333338</v>
      </c>
      <c r="I31" s="13"/>
      <c r="J31" s="13"/>
    </row>
    <row r="32" spans="2:11" ht="45" x14ac:dyDescent="0.25">
      <c r="B32" s="5" t="s">
        <v>2</v>
      </c>
      <c r="C32" s="6"/>
      <c r="D32" s="6"/>
      <c r="E32" s="6"/>
      <c r="F32" s="6"/>
      <c r="G32" s="6"/>
      <c r="H32" s="7">
        <v>21.25</v>
      </c>
    </row>
    <row r="33" spans="2:16" ht="30" x14ac:dyDescent="0.25">
      <c r="B33" s="5" t="s">
        <v>3</v>
      </c>
      <c r="C33" s="6"/>
      <c r="D33" s="6"/>
      <c r="E33" s="6"/>
      <c r="F33" s="6"/>
      <c r="G33" s="6"/>
      <c r="H33" s="7">
        <v>20.81</v>
      </c>
    </row>
    <row r="34" spans="2:16" x14ac:dyDescent="0.25">
      <c r="B34" s="3" t="s">
        <v>4</v>
      </c>
      <c r="C34" s="9">
        <f>MAX(C4:C27)</f>
        <v>58.5</v>
      </c>
      <c r="D34" s="4"/>
      <c r="E34" s="4"/>
      <c r="F34" s="4"/>
      <c r="G34" s="4"/>
      <c r="H34" s="8">
        <v>5170.01</v>
      </c>
    </row>
    <row r="35" spans="2:16" x14ac:dyDescent="0.25">
      <c r="B35" s="3" t="s">
        <v>5</v>
      </c>
      <c r="C35" s="9">
        <f>MIN(C4:C27)</f>
        <v>44.8</v>
      </c>
      <c r="D35" s="4"/>
      <c r="E35" s="4"/>
      <c r="F35" s="4"/>
      <c r="G35" s="4"/>
      <c r="H35" s="8">
        <v>5067.49</v>
      </c>
    </row>
    <row r="36" spans="2:16" x14ac:dyDescent="0.25">
      <c r="L36" s="11"/>
      <c r="M36" s="11"/>
      <c r="N36" s="11"/>
      <c r="O36" s="11"/>
      <c r="P36" s="11"/>
    </row>
    <row r="37" spans="2:16" ht="30" x14ac:dyDescent="0.25">
      <c r="B37" s="21" t="s">
        <v>15</v>
      </c>
      <c r="C37" s="22">
        <f>_xlfn.STDEV.S(C4:C27)</f>
        <v>2.6386618259799905</v>
      </c>
      <c r="D37" s="21" t="s">
        <v>17</v>
      </c>
      <c r="G37" s="23" t="s">
        <v>15</v>
      </c>
      <c r="H37" s="8">
        <f>_xlfn.STDEV.S(H4:H27)</f>
        <v>24.804938790607864</v>
      </c>
      <c r="I37" s="8" t="s">
        <v>16</v>
      </c>
      <c r="L37" s="12"/>
      <c r="M37" s="12"/>
      <c r="N37" s="12"/>
      <c r="O37" s="12"/>
      <c r="P37" s="12"/>
    </row>
  </sheetData>
  <pageMargins left="0.7" right="0.7" top="0.75" bottom="0.75" header="0.3" footer="0.3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Lausenmeyer, Maximilian</dc:creator>
  <cp:lastModifiedBy>Lausenmeyer, Maximilian</cp:lastModifiedBy>
  <cp:lastPrinted>2026-02-10T18:35:32Z</cp:lastPrinted>
  <dcterms:created xsi:type="dcterms:W3CDTF">2015-06-05T18:19:34Z</dcterms:created>
  <dcterms:modified xsi:type="dcterms:W3CDTF">2026-02-17T12:39:01Z</dcterms:modified>
</cp:coreProperties>
</file>