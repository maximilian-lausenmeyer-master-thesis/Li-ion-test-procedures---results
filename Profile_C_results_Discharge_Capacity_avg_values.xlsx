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vartagroup-my.sharepoint.com/personal/maximilian_lausenmeyer_varta-ag_com/Documents/Desktop/Cycles Results 03.02/Profile C - Z100_c,r/Final results - Profile C/"/>
    </mc:Choice>
  </mc:AlternateContent>
  <xr:revisionPtr revIDLastSave="227" documentId="11_AD4DB114E441178AC67DF427C6D6E330683EDF2F" xr6:coauthVersionLast="47" xr6:coauthVersionMax="47" xr10:uidLastSave="{2FAA1435-83C8-4879-AA39-712D23D3F6DF}"/>
  <bookViews>
    <workbookView xWindow="28680" yWindow="-120" windowWidth="29040" windowHeight="15720" activeTab="1" xr2:uid="{00000000-000D-0000-FFFF-FFFF00000000}"/>
  </bookViews>
  <sheets>
    <sheet name="All cells together" sheetId="8" r:id="rId1"/>
    <sheet name="Avg. Disch. Cap." sheetId="1" r:id="rId2"/>
  </sheets>
  <definedNames>
    <definedName name="_xlnm._FilterDatabase" localSheetId="1" hidden="1">'Avg. Disch. Cap.'!$D$30:$Q$327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1" i="1" l="1"/>
  <c r="Q32" i="1"/>
  <c r="AB20" i="8" l="1"/>
  <c r="AA20" i="8"/>
  <c r="AB23" i="8"/>
  <c r="AC19" i="8"/>
  <c r="AC18" i="8"/>
  <c r="AC17" i="8"/>
  <c r="AC16" i="8"/>
  <c r="AC15" i="8"/>
  <c r="AC14" i="8"/>
  <c r="Q177" i="1"/>
  <c r="Q35" i="1"/>
  <c r="Q36" i="1"/>
  <c r="Q38" i="1"/>
  <c r="Q42" i="1"/>
  <c r="Q45" i="1"/>
  <c r="Q49" i="1"/>
  <c r="Q52" i="1"/>
  <c r="Q54" i="1"/>
  <c r="Q57" i="1"/>
  <c r="Q62" i="1"/>
  <c r="Q65" i="1"/>
  <c r="Q66" i="1"/>
  <c r="Q68" i="1"/>
  <c r="Q72" i="1"/>
  <c r="Q75" i="1"/>
  <c r="Q79" i="1"/>
  <c r="Q82" i="1"/>
  <c r="Q84" i="1"/>
  <c r="Q87" i="1"/>
  <c r="Q92" i="1"/>
  <c r="Q95" i="1"/>
  <c r="Q96" i="1"/>
  <c r="Q98" i="1"/>
  <c r="Q102" i="1"/>
  <c r="Q105" i="1"/>
  <c r="Q109" i="1"/>
  <c r="Q112" i="1"/>
  <c r="Q114" i="1"/>
  <c r="Q117" i="1"/>
  <c r="Q122" i="1"/>
  <c r="Q125" i="1"/>
  <c r="Q126" i="1"/>
  <c r="Q128" i="1"/>
  <c r="Q132" i="1"/>
  <c r="Q135" i="1"/>
  <c r="Q139" i="1"/>
  <c r="Q142" i="1"/>
  <c r="Q144" i="1"/>
  <c r="Q147" i="1"/>
  <c r="Q152" i="1"/>
  <c r="Q155" i="1"/>
  <c r="Q156" i="1"/>
  <c r="Q158" i="1"/>
  <c r="Q162" i="1"/>
  <c r="Q165" i="1"/>
  <c r="Q169" i="1"/>
  <c r="Q172" i="1"/>
  <c r="Q174" i="1"/>
  <c r="Q182" i="1"/>
  <c r="Q185" i="1"/>
  <c r="Q186" i="1"/>
  <c r="Q188" i="1"/>
  <c r="Q192" i="1"/>
  <c r="Q195" i="1"/>
  <c r="Q199" i="1"/>
  <c r="Q202" i="1"/>
  <c r="Q204" i="1"/>
  <c r="Q207" i="1"/>
  <c r="Q212" i="1"/>
  <c r="Q215" i="1"/>
  <c r="Q216" i="1"/>
  <c r="Q218" i="1"/>
  <c r="Q222" i="1"/>
  <c r="Q225" i="1"/>
  <c r="Q229" i="1"/>
  <c r="Q232" i="1"/>
  <c r="Q234" i="1"/>
  <c r="Q237" i="1"/>
  <c r="Q242" i="1"/>
  <c r="Q245" i="1"/>
  <c r="Q246" i="1"/>
  <c r="Q248" i="1"/>
  <c r="Q252" i="1"/>
  <c r="Q255" i="1"/>
  <c r="Q259" i="1"/>
  <c r="Q262" i="1"/>
  <c r="Q264" i="1"/>
  <c r="Q267" i="1"/>
  <c r="Q272" i="1"/>
  <c r="Q275" i="1"/>
  <c r="Q276" i="1"/>
  <c r="Q278" i="1"/>
  <c r="Q282" i="1"/>
  <c r="Q285" i="1"/>
  <c r="Q289" i="1"/>
  <c r="Q292" i="1"/>
  <c r="Q294" i="1"/>
  <c r="Q297" i="1"/>
  <c r="Q302" i="1"/>
  <c r="Q305" i="1"/>
  <c r="Q306" i="1"/>
  <c r="Q308" i="1"/>
  <c r="Q312" i="1"/>
  <c r="Q315" i="1"/>
  <c r="Q319" i="1"/>
  <c r="Q322" i="1"/>
  <c r="Q324" i="1"/>
  <c r="Q327" i="1"/>
  <c r="AC21" i="8" l="1"/>
</calcChain>
</file>

<file path=xl/sharedStrings.xml><?xml version="1.0" encoding="utf-8"?>
<sst xmlns="http://schemas.openxmlformats.org/spreadsheetml/2006/main" count="41" uniqueCount="23">
  <si>
    <t>value</t>
  </si>
  <si>
    <t>Avg. Value</t>
  </si>
  <si>
    <t>cell #19</t>
  </si>
  <si>
    <t>cell #20</t>
  </si>
  <si>
    <t>cell #21</t>
  </si>
  <si>
    <t>cell #22</t>
  </si>
  <si>
    <t>cell #23</t>
  </si>
  <si>
    <t>cell #24</t>
  </si>
  <si>
    <t>nr</t>
  </si>
  <si>
    <t>Duration</t>
  </si>
  <si>
    <t>Number</t>
  </si>
  <si>
    <t>init dynamic</t>
  </si>
  <si>
    <t>init first proc.
Kap.test 0.2/0.2</t>
  </si>
  <si>
    <t>100 c</t>
  </si>
  <si>
    <t>delta</t>
  </si>
  <si>
    <t>Avg.</t>
  </si>
  <si>
    <t>#19</t>
  </si>
  <si>
    <t>#20</t>
  </si>
  <si>
    <t>#21</t>
  </si>
  <si>
    <t>#22</t>
  </si>
  <si>
    <t>#23</t>
  </si>
  <si>
    <t>#24</t>
  </si>
  <si>
    <t>Standard deviation for cap. After 100 cycles: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</si>
</sst>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 applyAlignment="0"/>
    <xf numFmtId="0" fontId="3" fillId="0" borderId="0"/>
    <xf numFmtId="0" fontId="3" fillId="0" borderId="0" applyAlignment="0"/>
  </cellStyleXfs>
  <cellXfs count="25">
    <xf numFmtId="0" fontId="0" fillId="0" borderId="0" xfId="0"/>
    <xf numFmtId="0" fontId="1" fillId="0" borderId="0" xfId="1" applyAlignment="1">
      <alignment horizontal="center"/>
    </xf>
    <xf numFmtId="2" fontId="1" fillId="0" borderId="0" xfId="1" applyNumberFormat="1" applyAlignment="1"/>
    <xf numFmtId="4" fontId="1" fillId="0" borderId="0" xfId="1" applyNumberFormat="1" applyAlignment="1"/>
    <xf numFmtId="0" fontId="1" fillId="0" borderId="0" xfId="1"/>
    <xf numFmtId="2" fontId="1" fillId="0" borderId="0" xfId="1" applyNumberFormat="1"/>
    <xf numFmtId="2" fontId="2" fillId="0" borderId="0" xfId="1" applyNumberFormat="1" applyFont="1" applyAlignment="1">
      <alignment horizontal="center"/>
    </xf>
    <xf numFmtId="0" fontId="4" fillId="2" borderId="0" xfId="0" applyFont="1" applyFill="1"/>
    <xf numFmtId="0" fontId="4" fillId="4" borderId="0" xfId="0" applyFont="1" applyFill="1"/>
    <xf numFmtId="2" fontId="0" fillId="0" borderId="0" xfId="0" applyNumberFormat="1"/>
    <xf numFmtId="0" fontId="2" fillId="0" borderId="1" xfId="2" applyFont="1" applyBorder="1" applyAlignment="1">
      <alignment horizontal="center"/>
    </xf>
    <xf numFmtId="0" fontId="2" fillId="0" borderId="1" xfId="2" applyFont="1" applyBorder="1" applyAlignment="1">
      <alignment horizontal="center" wrapText="1"/>
    </xf>
    <xf numFmtId="0" fontId="0" fillId="0" borderId="0" xfId="0" applyAlignment="1">
      <alignment horizontal="center"/>
    </xf>
    <xf numFmtId="0" fontId="3" fillId="0" borderId="0" xfId="2" applyAlignment="1">
      <alignment horizontal="center"/>
    </xf>
    <xf numFmtId="0" fontId="0" fillId="0" borderId="1" xfId="0" applyBorder="1" applyAlignment="1">
      <alignment horizontal="center"/>
    </xf>
    <xf numFmtId="0" fontId="4" fillId="0" borderId="0" xfId="0" applyFont="1"/>
    <xf numFmtId="0" fontId="3" fillId="0" borderId="0" xfId="2" applyAlignment="1">
      <alignment horizontal="right"/>
    </xf>
    <xf numFmtId="0" fontId="3" fillId="0" borderId="0" xfId="2"/>
    <xf numFmtId="0" fontId="2" fillId="3" borderId="0" xfId="2" applyFont="1" applyFill="1" applyAlignment="1">
      <alignment horizontal="right"/>
    </xf>
    <xf numFmtId="0" fontId="2" fillId="3" borderId="0" xfId="2" applyFont="1" applyFill="1"/>
    <xf numFmtId="0" fontId="0" fillId="0" borderId="0" xfId="0" applyAlignment="1">
      <alignment horizontal="right"/>
    </xf>
    <xf numFmtId="0" fontId="1" fillId="0" borderId="0" xfId="1" applyAlignment="1">
      <alignment horizontal="right"/>
    </xf>
    <xf numFmtId="0" fontId="2" fillId="0" borderId="0" xfId="2" applyFont="1"/>
    <xf numFmtId="0" fontId="3" fillId="0" borderId="1" xfId="2" applyBorder="1" applyAlignment="1">
      <alignment horizontal="center"/>
    </xf>
    <xf numFmtId="2" fontId="1" fillId="0" borderId="0" xfId="1" applyNumberFormat="1" applyFont="1" applyAlignment="1">
      <alignment horizontal="center"/>
    </xf>
  </cellXfs>
  <cellStyles count="4">
    <cellStyle name="Standard" xfId="0" builtinId="0"/>
    <cellStyle name="Standard 2" xfId="1" xr:uid="{CA9FA7B7-5D89-4493-911C-3895085CA6C0}"/>
    <cellStyle name="Standard 3" xfId="2" xr:uid="{4C10E99D-D2D9-443B-828E-0B67875B0F89}"/>
    <cellStyle name="Standard 4" xfId="3" xr:uid="{469730E0-F415-4E4D-8FEB-0DFD85FB0F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/>
              <a:t>Dynamic load profile C - 100 cycles - Discharge capacity </a:t>
            </a:r>
          </a:p>
        </c:rich>
      </c:tx>
      <c:layout>
        <c:manualLayout>
          <c:xMode val="edge"/>
          <c:yMode val="edge"/>
          <c:x val="0.29346982161657231"/>
          <c:y val="4.51951764155815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>
        <c:manualLayout>
          <c:layoutTarget val="inner"/>
          <c:xMode val="edge"/>
          <c:yMode val="edge"/>
          <c:x val="8.8318171525488376E-2"/>
          <c:y val="0.11782944670926304"/>
          <c:w val="0.83522437090294432"/>
          <c:h val="0.73241822644356036"/>
        </c:manualLayout>
      </c:layout>
      <c:scatterChart>
        <c:scatterStyle val="lineMarker"/>
        <c:varyColors val="0"/>
        <c:ser>
          <c:idx val="0"/>
          <c:order val="0"/>
          <c:tx>
            <c:v>cell #19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'All cells together'!$B$33:$B$133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'All cells together'!$C$33:$C$133</c:f>
              <c:numCache>
                <c:formatCode>General</c:formatCode>
                <c:ptCount val="101"/>
                <c:pt idx="0">
                  <c:v>5102.8900000000003</c:v>
                </c:pt>
                <c:pt idx="1">
                  <c:v>4933.5150742181868</c:v>
                </c:pt>
                <c:pt idx="2">
                  <c:v>4965.3787081542505</c:v>
                </c:pt>
                <c:pt idx="3">
                  <c:v>4890.0360115036074</c:v>
                </c:pt>
                <c:pt idx="4">
                  <c:v>4944.0078306333344</c:v>
                </c:pt>
                <c:pt idx="5">
                  <c:v>5008.6706687690212</c:v>
                </c:pt>
                <c:pt idx="6">
                  <c:v>4893.8980394276168</c:v>
                </c:pt>
                <c:pt idx="7">
                  <c:v>4989.3723025440177</c:v>
                </c:pt>
                <c:pt idx="8">
                  <c:v>4877.843747191916</c:v>
                </c:pt>
                <c:pt idx="9">
                  <c:v>4918.3333594008291</c:v>
                </c:pt>
                <c:pt idx="10">
                  <c:v>4922.0176379457971</c:v>
                </c:pt>
                <c:pt idx="11">
                  <c:v>4914.5555638208589</c:v>
                </c:pt>
                <c:pt idx="12">
                  <c:v>4915.5810591032778</c:v>
                </c:pt>
                <c:pt idx="13">
                  <c:v>4836.5529557996997</c:v>
                </c:pt>
                <c:pt idx="14">
                  <c:v>4897.3744171901362</c:v>
                </c:pt>
                <c:pt idx="15">
                  <c:v>4966.9479099378614</c:v>
                </c:pt>
                <c:pt idx="16">
                  <c:v>4839.7304820155478</c:v>
                </c:pt>
                <c:pt idx="17">
                  <c:v>4951.5338498088386</c:v>
                </c:pt>
                <c:pt idx="18">
                  <c:v>4827.8971900087308</c:v>
                </c:pt>
                <c:pt idx="19">
                  <c:v>4881.2452385493762</c:v>
                </c:pt>
                <c:pt idx="20">
                  <c:v>4885.8328230038242</c:v>
                </c:pt>
                <c:pt idx="21">
                  <c:v>4878.2543801870079</c:v>
                </c:pt>
                <c:pt idx="22">
                  <c:v>4881.4554684519717</c:v>
                </c:pt>
                <c:pt idx="23">
                  <c:v>4803.1372534184447</c:v>
                </c:pt>
                <c:pt idx="24">
                  <c:v>4864.0046120393681</c:v>
                </c:pt>
                <c:pt idx="25">
                  <c:v>4935.1370421233778</c:v>
                </c:pt>
                <c:pt idx="26">
                  <c:v>4804.0267880606625</c:v>
                </c:pt>
                <c:pt idx="27">
                  <c:v>4920.4840346125484</c:v>
                </c:pt>
                <c:pt idx="28">
                  <c:v>4794.8671566508137</c:v>
                </c:pt>
                <c:pt idx="29">
                  <c:v>4847.9279280367573</c:v>
                </c:pt>
                <c:pt idx="30">
                  <c:v>4853.5637918245548</c:v>
                </c:pt>
                <c:pt idx="31">
                  <c:v>4847.2707514220556</c:v>
                </c:pt>
                <c:pt idx="32">
                  <c:v>4849.7653092495102</c:v>
                </c:pt>
                <c:pt idx="33">
                  <c:v>4760.7148584725719</c:v>
                </c:pt>
                <c:pt idx="34">
                  <c:v>4833.8271900935042</c:v>
                </c:pt>
                <c:pt idx="35">
                  <c:v>4909.3883512202983</c:v>
                </c:pt>
                <c:pt idx="36">
                  <c:v>4767.5094313471172</c:v>
                </c:pt>
                <c:pt idx="37">
                  <c:v>4892.8383997524652</c:v>
                </c:pt>
                <c:pt idx="38">
                  <c:v>4758.7129922094209</c:v>
                </c:pt>
                <c:pt idx="39">
                  <c:v>4817.038210286275</c:v>
                </c:pt>
                <c:pt idx="40">
                  <c:v>4823.7304635775636</c:v>
                </c:pt>
                <c:pt idx="41">
                  <c:v>4818.8464236667423</c:v>
                </c:pt>
                <c:pt idx="42">
                  <c:v>4818.5830453192948</c:v>
                </c:pt>
                <c:pt idx="43">
                  <c:v>4723.7834267948429</c:v>
                </c:pt>
                <c:pt idx="44">
                  <c:v>4803.5817256258315</c:v>
                </c:pt>
                <c:pt idx="45">
                  <c:v>4880.9131814636785</c:v>
                </c:pt>
                <c:pt idx="46">
                  <c:v>4731.6786727617982</c:v>
                </c:pt>
                <c:pt idx="47">
                  <c:v>4866.6931970194046</c:v>
                </c:pt>
                <c:pt idx="48">
                  <c:v>4725.0219975755099</c:v>
                </c:pt>
                <c:pt idx="49">
                  <c:v>4791.1976378186382</c:v>
                </c:pt>
                <c:pt idx="50">
                  <c:v>4795.2617644939519</c:v>
                </c:pt>
                <c:pt idx="51">
                  <c:v>4792.0525677542955</c:v>
                </c:pt>
                <c:pt idx="52">
                  <c:v>4791.6910811017015</c:v>
                </c:pt>
                <c:pt idx="53">
                  <c:v>4689.3640662750186</c:v>
                </c:pt>
                <c:pt idx="54">
                  <c:v>4775.7518007765148</c:v>
                </c:pt>
                <c:pt idx="55">
                  <c:v>4856.8430618075154</c:v>
                </c:pt>
                <c:pt idx="56">
                  <c:v>4699.5738960521521</c:v>
                </c:pt>
                <c:pt idx="57">
                  <c:v>4841.133805939151</c:v>
                </c:pt>
                <c:pt idx="58">
                  <c:v>4689.7426002221036</c:v>
                </c:pt>
                <c:pt idx="59">
                  <c:v>4781.4624195722381</c:v>
                </c:pt>
                <c:pt idx="60">
                  <c:v>4805.4623879945411</c:v>
                </c:pt>
                <c:pt idx="61">
                  <c:v>4760.0914579147693</c:v>
                </c:pt>
                <c:pt idx="62">
                  <c:v>4764.0916713291454</c:v>
                </c:pt>
                <c:pt idx="63">
                  <c:v>4650.0102932699237</c:v>
                </c:pt>
                <c:pt idx="64">
                  <c:v>4746.5739166094454</c:v>
                </c:pt>
                <c:pt idx="65">
                  <c:v>4831.6068519366236</c:v>
                </c:pt>
                <c:pt idx="66">
                  <c:v>4662.2059075727138</c:v>
                </c:pt>
                <c:pt idx="67">
                  <c:v>4814.8617007027633</c:v>
                </c:pt>
                <c:pt idx="68">
                  <c:v>4649.868037859329</c:v>
                </c:pt>
                <c:pt idx="69">
                  <c:v>4729.5863558912524</c:v>
                </c:pt>
                <c:pt idx="70">
                  <c:v>4735.5781346693457</c:v>
                </c:pt>
                <c:pt idx="71">
                  <c:v>4731.839876910557</c:v>
                </c:pt>
                <c:pt idx="72">
                  <c:v>4732.2571732238084</c:v>
                </c:pt>
                <c:pt idx="73">
                  <c:v>4609.4932129142189</c:v>
                </c:pt>
                <c:pt idx="74">
                  <c:v>4716.5107018726212</c:v>
                </c:pt>
                <c:pt idx="75">
                  <c:v>4805.4413504658241</c:v>
                </c:pt>
                <c:pt idx="76">
                  <c:v>4623.3626842738822</c:v>
                </c:pt>
                <c:pt idx="77">
                  <c:v>4791.2464705034645</c:v>
                </c:pt>
                <c:pt idx="78">
                  <c:v>4614.3800494646621</c:v>
                </c:pt>
                <c:pt idx="79">
                  <c:v>4696.675183108262</c:v>
                </c:pt>
                <c:pt idx="80">
                  <c:v>4700.3812155082533</c:v>
                </c:pt>
                <c:pt idx="81">
                  <c:v>4696.369868306163</c:v>
                </c:pt>
                <c:pt idx="82">
                  <c:v>4697.5354708679843</c:v>
                </c:pt>
                <c:pt idx="83">
                  <c:v>4550.9078632706869</c:v>
                </c:pt>
                <c:pt idx="84">
                  <c:v>4684.0116451768772</c:v>
                </c:pt>
                <c:pt idx="85">
                  <c:v>4779.5024257606201</c:v>
                </c:pt>
                <c:pt idx="86">
                  <c:v>4583.6348791570235</c:v>
                </c:pt>
                <c:pt idx="87">
                  <c:v>4766.8061125098548</c:v>
                </c:pt>
                <c:pt idx="88">
                  <c:v>4579.0068618973737</c:v>
                </c:pt>
                <c:pt idx="89">
                  <c:v>4672.3368236226625</c:v>
                </c:pt>
                <c:pt idx="90">
                  <c:v>4677.8876692267922</c:v>
                </c:pt>
                <c:pt idx="91">
                  <c:v>4673.8940017208788</c:v>
                </c:pt>
                <c:pt idx="92">
                  <c:v>4673.0228082110489</c:v>
                </c:pt>
                <c:pt idx="93">
                  <c:v>4530.118478887448</c:v>
                </c:pt>
                <c:pt idx="94">
                  <c:v>4655.9807713011714</c:v>
                </c:pt>
                <c:pt idx="95">
                  <c:v>4756.5662099556639</c:v>
                </c:pt>
                <c:pt idx="96">
                  <c:v>4543.0192077176744</c:v>
                </c:pt>
                <c:pt idx="97">
                  <c:v>4741.2890821698329</c:v>
                </c:pt>
                <c:pt idx="98">
                  <c:v>4533.1946182277488</c:v>
                </c:pt>
                <c:pt idx="99">
                  <c:v>4640.9066633181592</c:v>
                </c:pt>
                <c:pt idx="100">
                  <c:v>4644.0857813466928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F67-42A2-8C4A-E904F4472CE8}"/>
            </c:ext>
          </c:extLst>
        </c:ser>
        <c:ser>
          <c:idx val="1"/>
          <c:order val="1"/>
          <c:tx>
            <c:v>cell #20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'All cells together'!$D$33:$D$133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'All cells together'!$E$33:$E$133</c:f>
              <c:numCache>
                <c:formatCode>General</c:formatCode>
                <c:ptCount val="101"/>
                <c:pt idx="0">
                  <c:v>5094.4799999999996</c:v>
                </c:pt>
                <c:pt idx="1">
                  <c:v>4926.5090246517984</c:v>
                </c:pt>
                <c:pt idx="2">
                  <c:v>4958.0072978391518</c:v>
                </c:pt>
                <c:pt idx="3">
                  <c:v>4885.2309724235574</c:v>
                </c:pt>
                <c:pt idx="4">
                  <c:v>4933.4299064113329</c:v>
                </c:pt>
                <c:pt idx="5">
                  <c:v>4998.7321908140684</c:v>
                </c:pt>
                <c:pt idx="6">
                  <c:v>4886.002114858049</c:v>
                </c:pt>
                <c:pt idx="7">
                  <c:v>4977.8353610877984</c:v>
                </c:pt>
                <c:pt idx="8">
                  <c:v>4870.2731816332243</c:v>
                </c:pt>
                <c:pt idx="9">
                  <c:v>4906.4895323109786</c:v>
                </c:pt>
                <c:pt idx="10">
                  <c:v>4910.6089271636019</c:v>
                </c:pt>
                <c:pt idx="11">
                  <c:v>4904.883314895349</c:v>
                </c:pt>
                <c:pt idx="12">
                  <c:v>4905.8890597051613</c:v>
                </c:pt>
                <c:pt idx="13">
                  <c:v>4827.5643057568896</c:v>
                </c:pt>
                <c:pt idx="14">
                  <c:v>4886.0029687274819</c:v>
                </c:pt>
                <c:pt idx="15">
                  <c:v>4957.2702165085666</c:v>
                </c:pt>
                <c:pt idx="16">
                  <c:v>4829.6253980061538</c:v>
                </c:pt>
                <c:pt idx="17">
                  <c:v>4939.0381017776763</c:v>
                </c:pt>
                <c:pt idx="18">
                  <c:v>4819.2284309486877</c:v>
                </c:pt>
                <c:pt idx="19">
                  <c:v>4869.0804300924865</c:v>
                </c:pt>
                <c:pt idx="20">
                  <c:v>4874.4184672312513</c:v>
                </c:pt>
                <c:pt idx="21">
                  <c:v>4867.5482960758882</c:v>
                </c:pt>
                <c:pt idx="22">
                  <c:v>4869.5626045878789</c:v>
                </c:pt>
                <c:pt idx="23">
                  <c:v>4790.4702819952017</c:v>
                </c:pt>
                <c:pt idx="24">
                  <c:v>4850.3373155141862</c:v>
                </c:pt>
                <c:pt idx="25">
                  <c:v>4924.6633185829451</c:v>
                </c:pt>
                <c:pt idx="26">
                  <c:v>4793.9902278680602</c:v>
                </c:pt>
                <c:pt idx="27">
                  <c:v>4908.2137210396486</c:v>
                </c:pt>
                <c:pt idx="28">
                  <c:v>4783.9012546306885</c:v>
                </c:pt>
                <c:pt idx="29">
                  <c:v>4835.0171159600895</c:v>
                </c:pt>
                <c:pt idx="30">
                  <c:v>4842.1444342717641</c:v>
                </c:pt>
                <c:pt idx="31">
                  <c:v>4836.7452211710452</c:v>
                </c:pt>
                <c:pt idx="32">
                  <c:v>4837.6330487101895</c:v>
                </c:pt>
                <c:pt idx="33">
                  <c:v>4751.5210029839864</c:v>
                </c:pt>
                <c:pt idx="34">
                  <c:v>4819.535235412799</c:v>
                </c:pt>
                <c:pt idx="35">
                  <c:v>4896.8404245398979</c:v>
                </c:pt>
                <c:pt idx="36">
                  <c:v>4756.4184810067563</c:v>
                </c:pt>
                <c:pt idx="37">
                  <c:v>4880.28692195858</c:v>
                </c:pt>
                <c:pt idx="38">
                  <c:v>4748.2735200868065</c:v>
                </c:pt>
                <c:pt idx="39">
                  <c:v>4804.6729171435109</c:v>
                </c:pt>
                <c:pt idx="40">
                  <c:v>4812.5810610106564</c:v>
                </c:pt>
                <c:pt idx="41">
                  <c:v>4806.6310101472491</c:v>
                </c:pt>
                <c:pt idx="42">
                  <c:v>4807.0923268312945</c:v>
                </c:pt>
                <c:pt idx="43">
                  <c:v>4714.4552300297564</c:v>
                </c:pt>
                <c:pt idx="44">
                  <c:v>4790.1550081381447</c:v>
                </c:pt>
                <c:pt idx="45">
                  <c:v>4870.3219863431759</c:v>
                </c:pt>
                <c:pt idx="46">
                  <c:v>4721.979538287429</c:v>
                </c:pt>
                <c:pt idx="47">
                  <c:v>4854.3808314895341</c:v>
                </c:pt>
                <c:pt idx="48">
                  <c:v>4714.288873417936</c:v>
                </c:pt>
                <c:pt idx="49">
                  <c:v>4776.1581203428195</c:v>
                </c:pt>
                <c:pt idx="50">
                  <c:v>4783.6897762433982</c:v>
                </c:pt>
                <c:pt idx="51">
                  <c:v>4779.2075144324917</c:v>
                </c:pt>
                <c:pt idx="52">
                  <c:v>4780.2055790798822</c:v>
                </c:pt>
                <c:pt idx="53">
                  <c:v>4680.960598238431</c:v>
                </c:pt>
                <c:pt idx="54">
                  <c:v>4763.2165789272913</c:v>
                </c:pt>
                <c:pt idx="55">
                  <c:v>4844.8021248187979</c:v>
                </c:pt>
                <c:pt idx="56">
                  <c:v>4689.3863584344235</c:v>
                </c:pt>
                <c:pt idx="57">
                  <c:v>4828.1187537617734</c:v>
                </c:pt>
                <c:pt idx="58">
                  <c:v>4679.3424425455441</c:v>
                </c:pt>
                <c:pt idx="59">
                  <c:v>4771.901022142536</c:v>
                </c:pt>
                <c:pt idx="60">
                  <c:v>4754.7714690199464</c:v>
                </c:pt>
                <c:pt idx="61">
                  <c:v>4747.7908134330255</c:v>
                </c:pt>
                <c:pt idx="62">
                  <c:v>4749.6042600222099</c:v>
                </c:pt>
                <c:pt idx="63">
                  <c:v>4640.1896952858096</c:v>
                </c:pt>
                <c:pt idx="64">
                  <c:v>4732.5045963564844</c:v>
                </c:pt>
                <c:pt idx="65">
                  <c:v>4819.7739049532483</c:v>
                </c:pt>
                <c:pt idx="66">
                  <c:v>4652.44199049702</c:v>
                </c:pt>
                <c:pt idx="67">
                  <c:v>4801.8283834761742</c:v>
                </c:pt>
                <c:pt idx="68">
                  <c:v>4640.6838854132229</c:v>
                </c:pt>
                <c:pt idx="69">
                  <c:v>4717.0559270703525</c:v>
                </c:pt>
                <c:pt idx="70">
                  <c:v>4724.0857266685325</c:v>
                </c:pt>
                <c:pt idx="71">
                  <c:v>4719.5034131464954</c:v>
                </c:pt>
                <c:pt idx="72">
                  <c:v>4720.965727812958</c:v>
                </c:pt>
                <c:pt idx="73">
                  <c:v>4601.9545796139464</c:v>
                </c:pt>
                <c:pt idx="74">
                  <c:v>4703.5327464967831</c:v>
                </c:pt>
                <c:pt idx="75">
                  <c:v>4794.3219397183875</c:v>
                </c:pt>
                <c:pt idx="76">
                  <c:v>4614.2214950874431</c:v>
                </c:pt>
                <c:pt idx="77">
                  <c:v>4778.8474318218432</c:v>
                </c:pt>
                <c:pt idx="78">
                  <c:v>4601.952846443377</c:v>
                </c:pt>
                <c:pt idx="79">
                  <c:v>4681.8090986156685</c:v>
                </c:pt>
                <c:pt idx="80">
                  <c:v>4689.0833636394464</c:v>
                </c:pt>
                <c:pt idx="81">
                  <c:v>4684.7319064028552</c:v>
                </c:pt>
                <c:pt idx="82">
                  <c:v>4685.5239055890415</c:v>
                </c:pt>
                <c:pt idx="83">
                  <c:v>4543.9867971313042</c:v>
                </c:pt>
                <c:pt idx="84">
                  <c:v>4670.1467419868941</c:v>
                </c:pt>
                <c:pt idx="85">
                  <c:v>4768.7576576977535</c:v>
                </c:pt>
                <c:pt idx="86">
                  <c:v>4572.9270082568255</c:v>
                </c:pt>
                <c:pt idx="87">
                  <c:v>4753.8101260564745</c:v>
                </c:pt>
                <c:pt idx="88">
                  <c:v>4570.7229251968829</c:v>
                </c:pt>
                <c:pt idx="89">
                  <c:v>4660.7707556606738</c:v>
                </c:pt>
                <c:pt idx="90">
                  <c:v>4667.0982761543873</c:v>
                </c:pt>
                <c:pt idx="91">
                  <c:v>4664.0711006841129</c:v>
                </c:pt>
                <c:pt idx="92">
                  <c:v>4663.7512349211192</c:v>
                </c:pt>
                <c:pt idx="93">
                  <c:v>4524.8493926061556</c:v>
                </c:pt>
                <c:pt idx="94">
                  <c:v>4643.3684434949946</c:v>
                </c:pt>
                <c:pt idx="95">
                  <c:v>4745.1027324245752</c:v>
                </c:pt>
                <c:pt idx="96">
                  <c:v>4538.2430196332753</c:v>
                </c:pt>
                <c:pt idx="97">
                  <c:v>4728.4744195213752</c:v>
                </c:pt>
                <c:pt idx="98">
                  <c:v>4527.5079016301715</c:v>
                </c:pt>
                <c:pt idx="99">
                  <c:v>4627.4554148334646</c:v>
                </c:pt>
                <c:pt idx="100">
                  <c:v>4629.7376382848852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F67-42A2-8C4A-E904F4472CE8}"/>
            </c:ext>
          </c:extLst>
        </c:ser>
        <c:ser>
          <c:idx val="2"/>
          <c:order val="2"/>
          <c:tx>
            <c:v>cell #21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'All cells together'!$F$33:$F$133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'All cells together'!$G$33:$G$133</c:f>
              <c:numCache>
                <c:formatCode>General</c:formatCode>
                <c:ptCount val="101"/>
                <c:pt idx="0">
                  <c:v>5100.5</c:v>
                </c:pt>
                <c:pt idx="1">
                  <c:v>4925.9163212193653</c:v>
                </c:pt>
                <c:pt idx="2">
                  <c:v>4959.8198343972272</c:v>
                </c:pt>
                <c:pt idx="3">
                  <c:v>4885.9604636623344</c:v>
                </c:pt>
                <c:pt idx="4">
                  <c:v>4934.6002852589372</c:v>
                </c:pt>
                <c:pt idx="5">
                  <c:v>5004.496858125005</c:v>
                </c:pt>
                <c:pt idx="6">
                  <c:v>4880.8774988767655</c:v>
                </c:pt>
                <c:pt idx="7">
                  <c:v>4983.9960625365584</c:v>
                </c:pt>
                <c:pt idx="8">
                  <c:v>4869.4397262277153</c:v>
                </c:pt>
                <c:pt idx="9">
                  <c:v>4910.0393901053712</c:v>
                </c:pt>
                <c:pt idx="10">
                  <c:v>4914.3917972160771</c:v>
                </c:pt>
                <c:pt idx="11">
                  <c:v>4909.0504793876044</c:v>
                </c:pt>
                <c:pt idx="12">
                  <c:v>4908.2541682561478</c:v>
                </c:pt>
                <c:pt idx="13">
                  <c:v>4829.9073580275171</c:v>
                </c:pt>
                <c:pt idx="14">
                  <c:v>4889.9469456524503</c:v>
                </c:pt>
                <c:pt idx="15">
                  <c:v>4964.1947708179687</c:v>
                </c:pt>
                <c:pt idx="16">
                  <c:v>4832.4703900799414</c:v>
                </c:pt>
                <c:pt idx="17">
                  <c:v>4946.2788647711577</c:v>
                </c:pt>
                <c:pt idx="18">
                  <c:v>4820.3961093732778</c:v>
                </c:pt>
                <c:pt idx="19">
                  <c:v>4872.3804758695524</c:v>
                </c:pt>
                <c:pt idx="20">
                  <c:v>4878.5547197002452</c:v>
                </c:pt>
                <c:pt idx="21">
                  <c:v>4872.9990554241585</c:v>
                </c:pt>
                <c:pt idx="22">
                  <c:v>4872.8163214312963</c:v>
                </c:pt>
                <c:pt idx="23">
                  <c:v>4789.6698805981532</c:v>
                </c:pt>
                <c:pt idx="24">
                  <c:v>4854.5707715554872</c:v>
                </c:pt>
                <c:pt idx="25">
                  <c:v>4933.1068915676933</c:v>
                </c:pt>
                <c:pt idx="26">
                  <c:v>4791.4191901274135</c:v>
                </c:pt>
                <c:pt idx="27">
                  <c:v>4915.2190614853816</c:v>
                </c:pt>
                <c:pt idx="28">
                  <c:v>4783.755742690505</c:v>
                </c:pt>
                <c:pt idx="29">
                  <c:v>4838.9200802370233</c:v>
                </c:pt>
                <c:pt idx="30">
                  <c:v>4846.4176453633754</c:v>
                </c:pt>
                <c:pt idx="31">
                  <c:v>4841.7786212625997</c:v>
                </c:pt>
                <c:pt idx="32">
                  <c:v>4841.2018056509241</c:v>
                </c:pt>
                <c:pt idx="33">
                  <c:v>4750.1275357527356</c:v>
                </c:pt>
                <c:pt idx="34">
                  <c:v>4823.4528426286206</c:v>
                </c:pt>
                <c:pt idx="35">
                  <c:v>4903.8695463831882</c:v>
                </c:pt>
                <c:pt idx="36">
                  <c:v>4756.1895231979524</c:v>
                </c:pt>
                <c:pt idx="37">
                  <c:v>4886.0990783126927</c:v>
                </c:pt>
                <c:pt idx="38">
                  <c:v>4748.0170252536809</c:v>
                </c:pt>
                <c:pt idx="39">
                  <c:v>4808.6448119325551</c:v>
                </c:pt>
                <c:pt idx="40">
                  <c:v>4816.513518433746</c:v>
                </c:pt>
                <c:pt idx="41">
                  <c:v>4811.2258157218794</c:v>
                </c:pt>
                <c:pt idx="42">
                  <c:v>4811.4531459016807</c:v>
                </c:pt>
                <c:pt idx="43">
                  <c:v>4712.6073325958141</c:v>
                </c:pt>
                <c:pt idx="44">
                  <c:v>4794.5130352313872</c:v>
                </c:pt>
                <c:pt idx="45">
                  <c:v>4877.5943283063334</c:v>
                </c:pt>
                <c:pt idx="46">
                  <c:v>4721.0351114332461</c:v>
                </c:pt>
                <c:pt idx="47">
                  <c:v>4860.7020038062783</c:v>
                </c:pt>
                <c:pt idx="48">
                  <c:v>4712.082965845223</c:v>
                </c:pt>
                <c:pt idx="49">
                  <c:v>4779.6700971914915</c:v>
                </c:pt>
                <c:pt idx="50">
                  <c:v>4788.4760683434633</c:v>
                </c:pt>
                <c:pt idx="51">
                  <c:v>4783.778334520146</c:v>
                </c:pt>
                <c:pt idx="52">
                  <c:v>4784.4513809414811</c:v>
                </c:pt>
                <c:pt idx="53">
                  <c:v>4677.2972497732344</c:v>
                </c:pt>
                <c:pt idx="54">
                  <c:v>4766.6063884438345</c:v>
                </c:pt>
                <c:pt idx="55">
                  <c:v>4852.6694755982808</c:v>
                </c:pt>
                <c:pt idx="56">
                  <c:v>4693.7470340276195</c:v>
                </c:pt>
                <c:pt idx="57">
                  <c:v>4835.1005463577576</c:v>
                </c:pt>
                <c:pt idx="58">
                  <c:v>4678.7077795579971</c:v>
                </c:pt>
                <c:pt idx="59">
                  <c:v>4778.9163114705452</c:v>
                </c:pt>
                <c:pt idx="60">
                  <c:v>4763.1978522926674</c:v>
                </c:pt>
                <c:pt idx="61">
                  <c:v>4753.55264298975</c:v>
                </c:pt>
                <c:pt idx="62">
                  <c:v>4754.4462884548548</c:v>
                </c:pt>
                <c:pt idx="63">
                  <c:v>4637.5754096623514</c:v>
                </c:pt>
                <c:pt idx="64">
                  <c:v>4736.6842331917633</c:v>
                </c:pt>
                <c:pt idx="65">
                  <c:v>4826.5885570051632</c:v>
                </c:pt>
                <c:pt idx="66">
                  <c:v>4654.0293187270581</c:v>
                </c:pt>
                <c:pt idx="67">
                  <c:v>4809.3482602595732</c:v>
                </c:pt>
                <c:pt idx="68">
                  <c:v>4642.0819814263796</c:v>
                </c:pt>
                <c:pt idx="69">
                  <c:v>4722.2679821215124</c:v>
                </c:pt>
                <c:pt idx="70">
                  <c:v>4729.4943052058688</c:v>
                </c:pt>
                <c:pt idx="71">
                  <c:v>4723.8191220976069</c:v>
                </c:pt>
                <c:pt idx="72">
                  <c:v>4725.2046461602367</c:v>
                </c:pt>
                <c:pt idx="73">
                  <c:v>4598.2829050210657</c:v>
                </c:pt>
                <c:pt idx="74">
                  <c:v>4707.1127635360244</c:v>
                </c:pt>
                <c:pt idx="75">
                  <c:v>4802.3960002288841</c:v>
                </c:pt>
                <c:pt idx="76">
                  <c:v>4612.4714505819629</c:v>
                </c:pt>
                <c:pt idx="77">
                  <c:v>4785.8410387155291</c:v>
                </c:pt>
                <c:pt idx="78">
                  <c:v>4599.6225543178789</c:v>
                </c:pt>
                <c:pt idx="79">
                  <c:v>4689.222872214169</c:v>
                </c:pt>
                <c:pt idx="80">
                  <c:v>4694.7693066893853</c:v>
                </c:pt>
                <c:pt idx="81">
                  <c:v>4692.7351292354379</c:v>
                </c:pt>
                <c:pt idx="82">
                  <c:v>4692.4173772708391</c:v>
                </c:pt>
                <c:pt idx="83">
                  <c:v>4547.4960771597871</c:v>
                </c:pt>
                <c:pt idx="84">
                  <c:v>4677.0673283148099</c:v>
                </c:pt>
                <c:pt idx="85">
                  <c:v>4777.4598819121256</c:v>
                </c:pt>
                <c:pt idx="86">
                  <c:v>4571.0134448937379</c:v>
                </c:pt>
                <c:pt idx="87">
                  <c:v>4760.8141148071854</c:v>
                </c:pt>
                <c:pt idx="88">
                  <c:v>4569.0002748743254</c:v>
                </c:pt>
                <c:pt idx="89">
                  <c:v>4665.6621646194153</c:v>
                </c:pt>
                <c:pt idx="90">
                  <c:v>4671.353290226597</c:v>
                </c:pt>
                <c:pt idx="91">
                  <c:v>4667.2386606393538</c:v>
                </c:pt>
                <c:pt idx="92">
                  <c:v>4668.7779269771036</c:v>
                </c:pt>
                <c:pt idx="93">
                  <c:v>4520.8415520120716</c:v>
                </c:pt>
                <c:pt idx="94">
                  <c:v>4646.4511469698118</c:v>
                </c:pt>
                <c:pt idx="95">
                  <c:v>4752.3421577104691</c:v>
                </c:pt>
                <c:pt idx="96">
                  <c:v>4532.9276245517658</c:v>
                </c:pt>
                <c:pt idx="97">
                  <c:v>4735.623048964505</c:v>
                </c:pt>
                <c:pt idx="98">
                  <c:v>4519.3316219916414</c:v>
                </c:pt>
                <c:pt idx="99">
                  <c:v>4631.1381871858121</c:v>
                </c:pt>
                <c:pt idx="100">
                  <c:v>4636.8895518086174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F67-42A2-8C4A-E904F4472CE8}"/>
            </c:ext>
          </c:extLst>
        </c:ser>
        <c:ser>
          <c:idx val="3"/>
          <c:order val="3"/>
          <c:tx>
            <c:v>cell #22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'All cells together'!$H$33:$H$133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'All cells together'!$I$33:$I$133</c:f>
              <c:numCache>
                <c:formatCode>General</c:formatCode>
                <c:ptCount val="101"/>
                <c:pt idx="0">
                  <c:v>5104.5600000000004</c:v>
                </c:pt>
                <c:pt idx="1">
                  <c:v>4934.0576036553839</c:v>
                </c:pt>
                <c:pt idx="2">
                  <c:v>4967.3181999864373</c:v>
                </c:pt>
                <c:pt idx="3">
                  <c:v>4894.8732079126503</c:v>
                </c:pt>
                <c:pt idx="4">
                  <c:v>4941.8191316344955</c:v>
                </c:pt>
                <c:pt idx="5">
                  <c:v>5008.4719096242052</c:v>
                </c:pt>
                <c:pt idx="6">
                  <c:v>4886.9693124115183</c:v>
                </c:pt>
                <c:pt idx="7">
                  <c:v>4988.5160154031355</c:v>
                </c:pt>
                <c:pt idx="8">
                  <c:v>4875.2163324517005</c:v>
                </c:pt>
                <c:pt idx="9">
                  <c:v>4916.2769673541707</c:v>
                </c:pt>
                <c:pt idx="10">
                  <c:v>4920.3595750362401</c:v>
                </c:pt>
                <c:pt idx="11">
                  <c:v>4914.1740045607521</c:v>
                </c:pt>
                <c:pt idx="12">
                  <c:v>4913.1254974017284</c:v>
                </c:pt>
                <c:pt idx="13">
                  <c:v>4836.3753225587689</c:v>
                </c:pt>
                <c:pt idx="14">
                  <c:v>4895.6321015911763</c:v>
                </c:pt>
                <c:pt idx="15">
                  <c:v>4967.2145501131708</c:v>
                </c:pt>
                <c:pt idx="16">
                  <c:v>4838.1479283758463</c:v>
                </c:pt>
                <c:pt idx="17">
                  <c:v>4949.7683150648936</c:v>
                </c:pt>
                <c:pt idx="18">
                  <c:v>4827.6409035036413</c:v>
                </c:pt>
                <c:pt idx="19">
                  <c:v>4877.4209849698636</c:v>
                </c:pt>
                <c:pt idx="20">
                  <c:v>4883.7524420792961</c:v>
                </c:pt>
                <c:pt idx="21">
                  <c:v>4876.4875507574407</c:v>
                </c:pt>
                <c:pt idx="22">
                  <c:v>4877.7738066173288</c:v>
                </c:pt>
                <c:pt idx="23">
                  <c:v>4797.0229506285868</c:v>
                </c:pt>
                <c:pt idx="24">
                  <c:v>4859.1647681900258</c:v>
                </c:pt>
                <c:pt idx="25">
                  <c:v>4935.8603229402443</c:v>
                </c:pt>
                <c:pt idx="26">
                  <c:v>4798.3892171697898</c:v>
                </c:pt>
                <c:pt idx="27">
                  <c:v>4918.689364673668</c:v>
                </c:pt>
                <c:pt idx="28">
                  <c:v>4789.3176025533421</c:v>
                </c:pt>
                <c:pt idx="29">
                  <c:v>4844.653233429126</c:v>
                </c:pt>
                <c:pt idx="30">
                  <c:v>4850.7055102023514</c:v>
                </c:pt>
                <c:pt idx="31">
                  <c:v>4847.0272182803083</c:v>
                </c:pt>
                <c:pt idx="32">
                  <c:v>4846.2787903834251</c:v>
                </c:pt>
                <c:pt idx="33">
                  <c:v>4755.2652174834484</c:v>
                </c:pt>
                <c:pt idx="34">
                  <c:v>4829.4131267855173</c:v>
                </c:pt>
                <c:pt idx="35">
                  <c:v>4907.7993559421175</c:v>
                </c:pt>
                <c:pt idx="36">
                  <c:v>4763.3261548112541</c:v>
                </c:pt>
                <c:pt idx="37">
                  <c:v>4890.68052207048</c:v>
                </c:pt>
                <c:pt idx="38">
                  <c:v>4752.7506290107904</c:v>
                </c:pt>
                <c:pt idx="39">
                  <c:v>4814.2695590990397</c:v>
                </c:pt>
                <c:pt idx="40">
                  <c:v>4821.6080896128442</c:v>
                </c:pt>
                <c:pt idx="41">
                  <c:v>4814.8270421657644</c:v>
                </c:pt>
                <c:pt idx="42">
                  <c:v>4815.3222601578464</c:v>
                </c:pt>
                <c:pt idx="43">
                  <c:v>4718.9102953892316</c:v>
                </c:pt>
                <c:pt idx="44">
                  <c:v>4799.4401263531781</c:v>
                </c:pt>
                <c:pt idx="45">
                  <c:v>4880.2690794995051</c:v>
                </c:pt>
                <c:pt idx="46">
                  <c:v>4727.1614129006548</c:v>
                </c:pt>
                <c:pt idx="47">
                  <c:v>4864.0820074938747</c:v>
                </c:pt>
                <c:pt idx="48">
                  <c:v>4721.0592429405842</c:v>
                </c:pt>
                <c:pt idx="49">
                  <c:v>4783.5190731415778</c:v>
                </c:pt>
                <c:pt idx="50">
                  <c:v>4790.949657095869</c:v>
                </c:pt>
                <c:pt idx="51">
                  <c:v>4786.660525334215</c:v>
                </c:pt>
                <c:pt idx="52">
                  <c:v>4787.6087033646145</c:v>
                </c:pt>
                <c:pt idx="53">
                  <c:v>4684.5337495655422</c:v>
                </c:pt>
                <c:pt idx="54">
                  <c:v>4770.3174595000137</c:v>
                </c:pt>
                <c:pt idx="55">
                  <c:v>4854.5488011071275</c:v>
                </c:pt>
                <c:pt idx="56">
                  <c:v>4703.242013385553</c:v>
                </c:pt>
                <c:pt idx="57">
                  <c:v>4839.1132959063425</c:v>
                </c:pt>
                <c:pt idx="58">
                  <c:v>4682.5082487729196</c:v>
                </c:pt>
                <c:pt idx="59">
                  <c:v>4783.7050257284063</c:v>
                </c:pt>
                <c:pt idx="60">
                  <c:v>4767.7559010028572</c:v>
                </c:pt>
                <c:pt idx="61">
                  <c:v>4758.001183209989</c:v>
                </c:pt>
                <c:pt idx="62">
                  <c:v>4759.2789556894959</c:v>
                </c:pt>
                <c:pt idx="63">
                  <c:v>4641.415071463086</c:v>
                </c:pt>
                <c:pt idx="64">
                  <c:v>4741.6975519866392</c:v>
                </c:pt>
                <c:pt idx="65">
                  <c:v>4830.1177956223555</c:v>
                </c:pt>
                <c:pt idx="66">
                  <c:v>4655.9693787458773</c:v>
                </c:pt>
                <c:pt idx="67">
                  <c:v>4813.2053145901691</c:v>
                </c:pt>
                <c:pt idx="68">
                  <c:v>4646.9319275959406</c:v>
                </c:pt>
                <c:pt idx="69">
                  <c:v>4727.1781126285359</c:v>
                </c:pt>
                <c:pt idx="70">
                  <c:v>4732.8335558607359</c:v>
                </c:pt>
                <c:pt idx="71">
                  <c:v>4727.2435751040584</c:v>
                </c:pt>
                <c:pt idx="72">
                  <c:v>4726.8409605130419</c:v>
                </c:pt>
                <c:pt idx="73">
                  <c:v>4600.8813452099384</c:v>
                </c:pt>
                <c:pt idx="74">
                  <c:v>4711.6849452794522</c:v>
                </c:pt>
                <c:pt idx="75">
                  <c:v>4805.0830476505344</c:v>
                </c:pt>
                <c:pt idx="76">
                  <c:v>4615.6566139382694</c:v>
                </c:pt>
                <c:pt idx="77">
                  <c:v>4788.3746005103303</c:v>
                </c:pt>
                <c:pt idx="78">
                  <c:v>4604.3084657901209</c:v>
                </c:pt>
                <c:pt idx="79">
                  <c:v>4692.6709589023676</c:v>
                </c:pt>
                <c:pt idx="80">
                  <c:v>4699.8172770275432</c:v>
                </c:pt>
                <c:pt idx="81">
                  <c:v>4697.1348032857759</c:v>
                </c:pt>
                <c:pt idx="82">
                  <c:v>4696.6461723167431</c:v>
                </c:pt>
                <c:pt idx="83">
                  <c:v>4556.4621283792376</c:v>
                </c:pt>
                <c:pt idx="84">
                  <c:v>4681.962189839187</c:v>
                </c:pt>
                <c:pt idx="85">
                  <c:v>4779.4557346371321</c:v>
                </c:pt>
                <c:pt idx="86">
                  <c:v>4575.1761965616333</c:v>
                </c:pt>
                <c:pt idx="87">
                  <c:v>4763.6744135873105</c:v>
                </c:pt>
                <c:pt idx="88">
                  <c:v>4569.0408642964321</c:v>
                </c:pt>
                <c:pt idx="89">
                  <c:v>4667.4123598077358</c:v>
                </c:pt>
                <c:pt idx="90">
                  <c:v>4673.54717708095</c:v>
                </c:pt>
                <c:pt idx="91">
                  <c:v>4669.1564903825783</c:v>
                </c:pt>
                <c:pt idx="92">
                  <c:v>4668.7790054932466</c:v>
                </c:pt>
                <c:pt idx="93">
                  <c:v>4520.3584267948427</c:v>
                </c:pt>
                <c:pt idx="94">
                  <c:v>4649.282979196867</c:v>
                </c:pt>
                <c:pt idx="95">
                  <c:v>4753.2227223790514</c:v>
                </c:pt>
                <c:pt idx="96">
                  <c:v>4535.296900935039</c:v>
                </c:pt>
                <c:pt idx="97">
                  <c:v>4737.8231837525327</c:v>
                </c:pt>
                <c:pt idx="98">
                  <c:v>4521.3002996702362</c:v>
                </c:pt>
                <c:pt idx="99">
                  <c:v>4633.9848963234235</c:v>
                </c:pt>
                <c:pt idx="100">
                  <c:v>4637.3665032679737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F67-42A2-8C4A-E904F4472CE8}"/>
            </c:ext>
          </c:extLst>
        </c:ser>
        <c:ser>
          <c:idx val="4"/>
          <c:order val="4"/>
          <c:tx>
            <c:v>cell #23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'All cells together'!$J$33:$J$133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'All cells together'!$K$33:$K$133</c:f>
              <c:numCache>
                <c:formatCode>General</c:formatCode>
                <c:ptCount val="101"/>
                <c:pt idx="0">
                  <c:v>5105.92</c:v>
                </c:pt>
                <c:pt idx="1">
                  <c:v>4932.1872150589588</c:v>
                </c:pt>
                <c:pt idx="2">
                  <c:v>4967.8067179963209</c:v>
                </c:pt>
                <c:pt idx="3">
                  <c:v>4893.1063731848126</c:v>
                </c:pt>
                <c:pt idx="4">
                  <c:v>4943.5459247814997</c:v>
                </c:pt>
                <c:pt idx="5">
                  <c:v>5011.2811682476713</c:v>
                </c:pt>
                <c:pt idx="6">
                  <c:v>4895.494052160424</c:v>
                </c:pt>
                <c:pt idx="7">
                  <c:v>4991.3000122919902</c:v>
                </c:pt>
                <c:pt idx="8">
                  <c:v>4876.7359390232532</c:v>
                </c:pt>
                <c:pt idx="9">
                  <c:v>4919.0063407593907</c:v>
                </c:pt>
                <c:pt idx="10">
                  <c:v>4924.0816166933701</c:v>
                </c:pt>
                <c:pt idx="11">
                  <c:v>4917.7009780609169</c:v>
                </c:pt>
                <c:pt idx="12">
                  <c:v>4917.5481646787548</c:v>
                </c:pt>
                <c:pt idx="13">
                  <c:v>4837.675100455227</c:v>
                </c:pt>
                <c:pt idx="14">
                  <c:v>4899.3571431296268</c:v>
                </c:pt>
                <c:pt idx="15">
                  <c:v>4970.3135209769162</c:v>
                </c:pt>
                <c:pt idx="16">
                  <c:v>4837.3719403541791</c:v>
                </c:pt>
                <c:pt idx="17">
                  <c:v>4953.9760001017266</c:v>
                </c:pt>
                <c:pt idx="18">
                  <c:v>4825.6894642811731</c:v>
                </c:pt>
                <c:pt idx="19">
                  <c:v>4881.1052200690046</c:v>
                </c:pt>
                <c:pt idx="20">
                  <c:v>4886.634721692395</c:v>
                </c:pt>
                <c:pt idx="21">
                  <c:v>4881.3290947161395</c:v>
                </c:pt>
                <c:pt idx="22">
                  <c:v>4881.7509422446019</c:v>
                </c:pt>
                <c:pt idx="23">
                  <c:v>4802.5449855039296</c:v>
                </c:pt>
                <c:pt idx="24">
                  <c:v>4864.3593970143183</c:v>
                </c:pt>
                <c:pt idx="25">
                  <c:v>4939.405772996618</c:v>
                </c:pt>
                <c:pt idx="26">
                  <c:v>4795.9511853292979</c:v>
                </c:pt>
                <c:pt idx="27">
                  <c:v>4921.8575114654604</c:v>
                </c:pt>
                <c:pt idx="28">
                  <c:v>4786.4959472461696</c:v>
                </c:pt>
                <c:pt idx="29">
                  <c:v>4846.6399076405305</c:v>
                </c:pt>
                <c:pt idx="30">
                  <c:v>4852.1461837610095</c:v>
                </c:pt>
                <c:pt idx="31">
                  <c:v>4846.8845998321503</c:v>
                </c:pt>
                <c:pt idx="32">
                  <c:v>4848.0290179971689</c:v>
                </c:pt>
                <c:pt idx="33">
                  <c:v>4747.9240545764351</c:v>
                </c:pt>
                <c:pt idx="34">
                  <c:v>4830.9383300272111</c:v>
                </c:pt>
                <c:pt idx="35">
                  <c:v>4910.211652806388</c:v>
                </c:pt>
                <c:pt idx="36">
                  <c:v>4756.7836387257021</c:v>
                </c:pt>
                <c:pt idx="37">
                  <c:v>4893.5501038461207</c:v>
                </c:pt>
                <c:pt idx="38">
                  <c:v>4748.0628538185701</c:v>
                </c:pt>
                <c:pt idx="39">
                  <c:v>4814.4628222408728</c:v>
                </c:pt>
                <c:pt idx="40">
                  <c:v>4821.2091850834586</c:v>
                </c:pt>
                <c:pt idx="41">
                  <c:v>4814.5009488144578</c:v>
                </c:pt>
                <c:pt idx="42">
                  <c:v>4815.3532620397918</c:v>
                </c:pt>
                <c:pt idx="43">
                  <c:v>4708.1617678848452</c:v>
                </c:pt>
                <c:pt idx="44">
                  <c:v>4798.2022271814049</c:v>
                </c:pt>
                <c:pt idx="45">
                  <c:v>4882.367060434206</c:v>
                </c:pt>
                <c:pt idx="46">
                  <c:v>4717.4417075693218</c:v>
                </c:pt>
                <c:pt idx="47">
                  <c:v>4867.2158986292307</c:v>
                </c:pt>
                <c:pt idx="48">
                  <c:v>4712.5134249722378</c:v>
                </c:pt>
                <c:pt idx="49">
                  <c:v>4784.405542203911</c:v>
                </c:pt>
                <c:pt idx="50">
                  <c:v>4791.2719329365991</c:v>
                </c:pt>
                <c:pt idx="51">
                  <c:v>4785.3704746403537</c:v>
                </c:pt>
                <c:pt idx="52">
                  <c:v>4786.3907282368191</c:v>
                </c:pt>
                <c:pt idx="53">
                  <c:v>4672.6752977628576</c:v>
                </c:pt>
                <c:pt idx="54">
                  <c:v>4770.2842255622518</c:v>
                </c:pt>
                <c:pt idx="55">
                  <c:v>4856.6861806244342</c:v>
                </c:pt>
                <c:pt idx="56">
                  <c:v>4684.5287337978862</c:v>
                </c:pt>
                <c:pt idx="57">
                  <c:v>4841.2350065274704</c:v>
                </c:pt>
                <c:pt idx="58">
                  <c:v>4673.198023108941</c:v>
                </c:pt>
                <c:pt idx="59">
                  <c:v>4778.8098638980018</c:v>
                </c:pt>
                <c:pt idx="60">
                  <c:v>4768.4915630324758</c:v>
                </c:pt>
                <c:pt idx="61">
                  <c:v>4756.3972959741604</c:v>
                </c:pt>
                <c:pt idx="62">
                  <c:v>4754.0243678102452</c:v>
                </c:pt>
                <c:pt idx="63">
                  <c:v>4625.2106955146965</c:v>
                </c:pt>
                <c:pt idx="64">
                  <c:v>4737.3177415799864</c:v>
                </c:pt>
                <c:pt idx="65">
                  <c:v>4830.4452025211303</c:v>
                </c:pt>
                <c:pt idx="66">
                  <c:v>4638.7893814162071</c:v>
                </c:pt>
                <c:pt idx="67">
                  <c:v>4814.8701732746713</c:v>
                </c:pt>
                <c:pt idx="68">
                  <c:v>4634.9513661063211</c:v>
                </c:pt>
                <c:pt idx="69">
                  <c:v>4717.1030259488152</c:v>
                </c:pt>
                <c:pt idx="70">
                  <c:v>4723.4409174910779</c:v>
                </c:pt>
                <c:pt idx="71">
                  <c:v>4718.6599988979588</c:v>
                </c:pt>
                <c:pt idx="72">
                  <c:v>4720.2512289870556</c:v>
                </c:pt>
                <c:pt idx="73">
                  <c:v>4573.5676097589921</c:v>
                </c:pt>
                <c:pt idx="74">
                  <c:v>4703.1937611793519</c:v>
                </c:pt>
                <c:pt idx="75">
                  <c:v>4804.300771216399</c:v>
                </c:pt>
                <c:pt idx="76">
                  <c:v>4589.4269760433363</c:v>
                </c:pt>
                <c:pt idx="77">
                  <c:v>4788.0827681137307</c:v>
                </c:pt>
                <c:pt idx="78">
                  <c:v>4571.8476208641696</c:v>
                </c:pt>
                <c:pt idx="79">
                  <c:v>4682.6006476607072</c:v>
                </c:pt>
                <c:pt idx="80">
                  <c:v>4689.3372139993044</c:v>
                </c:pt>
                <c:pt idx="81">
                  <c:v>4686.8453248052356</c:v>
                </c:pt>
                <c:pt idx="82">
                  <c:v>4684.6695646092412</c:v>
                </c:pt>
                <c:pt idx="83">
                  <c:v>4524.9719721438078</c:v>
                </c:pt>
                <c:pt idx="84">
                  <c:v>4670.0732176614702</c:v>
                </c:pt>
                <c:pt idx="85">
                  <c:v>4778.5085153819418</c:v>
                </c:pt>
                <c:pt idx="86">
                  <c:v>4544.0851207582027</c:v>
                </c:pt>
                <c:pt idx="87">
                  <c:v>4762.4535002500788</c:v>
                </c:pt>
                <c:pt idx="88">
                  <c:v>4538.0195703313748</c:v>
                </c:pt>
                <c:pt idx="89">
                  <c:v>4651.9488570568737</c:v>
                </c:pt>
                <c:pt idx="90">
                  <c:v>4657.9647567457587</c:v>
                </c:pt>
                <c:pt idx="91">
                  <c:v>4652.7074118579549</c:v>
                </c:pt>
                <c:pt idx="92">
                  <c:v>4653.4596191178589</c:v>
                </c:pt>
                <c:pt idx="93">
                  <c:v>4474.6263423700648</c:v>
                </c:pt>
                <c:pt idx="94">
                  <c:v>4634.8636797131312</c:v>
                </c:pt>
                <c:pt idx="95">
                  <c:v>4751.4344889923113</c:v>
                </c:pt>
                <c:pt idx="96">
                  <c:v>4500.1165303951238</c:v>
                </c:pt>
                <c:pt idx="97">
                  <c:v>4735.4685655671692</c:v>
                </c:pt>
                <c:pt idx="98">
                  <c:v>4491.1140868323118</c:v>
                </c:pt>
                <c:pt idx="99">
                  <c:v>4614.876100556955</c:v>
                </c:pt>
                <c:pt idx="100">
                  <c:v>4620.3664719022063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F67-42A2-8C4A-E904F4472CE8}"/>
            </c:ext>
          </c:extLst>
        </c:ser>
        <c:ser>
          <c:idx val="5"/>
          <c:order val="5"/>
          <c:tx>
            <c:v>cell #24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'All cells together'!$L$33:$L$133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'All cells together'!$M$33:$M$133</c:f>
              <c:numCache>
                <c:formatCode>General</c:formatCode>
                <c:ptCount val="101"/>
                <c:pt idx="0">
                  <c:v>5105.3999999999996</c:v>
                </c:pt>
                <c:pt idx="1">
                  <c:v>4932.5638907962657</c:v>
                </c:pt>
                <c:pt idx="2">
                  <c:v>4970.1123034341281</c:v>
                </c:pt>
                <c:pt idx="3">
                  <c:v>4896.8420379695326</c:v>
                </c:pt>
                <c:pt idx="4">
                  <c:v>4943.0707598992904</c:v>
                </c:pt>
                <c:pt idx="5">
                  <c:v>5012.6974163508912</c:v>
                </c:pt>
                <c:pt idx="6">
                  <c:v>4892.3969859193139</c:v>
                </c:pt>
                <c:pt idx="7">
                  <c:v>4992.832983223554</c:v>
                </c:pt>
                <c:pt idx="8">
                  <c:v>4872.7813905631428</c:v>
                </c:pt>
                <c:pt idx="9">
                  <c:v>4918.5587696989733</c:v>
                </c:pt>
                <c:pt idx="10">
                  <c:v>4923.6172689741688</c:v>
                </c:pt>
                <c:pt idx="11">
                  <c:v>4917.4876787636795</c:v>
                </c:pt>
                <c:pt idx="12">
                  <c:v>4916.7079671168067</c:v>
                </c:pt>
                <c:pt idx="13">
                  <c:v>4833.150125251138</c:v>
                </c:pt>
                <c:pt idx="14">
                  <c:v>4898.6148830565526</c:v>
                </c:pt>
                <c:pt idx="15">
                  <c:v>4972.1537638920681</c:v>
                </c:pt>
                <c:pt idx="16">
                  <c:v>4834.8202866576812</c:v>
                </c:pt>
                <c:pt idx="17">
                  <c:v>4955.7775696616727</c:v>
                </c:pt>
                <c:pt idx="18">
                  <c:v>4823.597628705611</c:v>
                </c:pt>
                <c:pt idx="19">
                  <c:v>4881.252755948899</c:v>
                </c:pt>
                <c:pt idx="20">
                  <c:v>4888.3497096547217</c:v>
                </c:pt>
                <c:pt idx="21">
                  <c:v>4880.534547273297</c:v>
                </c:pt>
                <c:pt idx="22">
                  <c:v>4881.4878256317661</c:v>
                </c:pt>
                <c:pt idx="23">
                  <c:v>4798.0736892076329</c:v>
                </c:pt>
                <c:pt idx="24">
                  <c:v>4863.8110528301249</c:v>
                </c:pt>
                <c:pt idx="25">
                  <c:v>4940.7929043428876</c:v>
                </c:pt>
                <c:pt idx="26">
                  <c:v>4796.2504641285832</c:v>
                </c:pt>
                <c:pt idx="27">
                  <c:v>4924.0450342480272</c:v>
                </c:pt>
                <c:pt idx="28">
                  <c:v>4786.4197644600426</c:v>
                </c:pt>
                <c:pt idx="29">
                  <c:v>4847.0889732373716</c:v>
                </c:pt>
                <c:pt idx="30">
                  <c:v>4852.5673899866915</c:v>
                </c:pt>
                <c:pt idx="31">
                  <c:v>4847.7657519730765</c:v>
                </c:pt>
                <c:pt idx="32">
                  <c:v>4847.8546164899162</c:v>
                </c:pt>
                <c:pt idx="33">
                  <c:v>4747.9475547417414</c:v>
                </c:pt>
                <c:pt idx="34">
                  <c:v>4831.4682953553238</c:v>
                </c:pt>
                <c:pt idx="35">
                  <c:v>4911.9150303485003</c:v>
                </c:pt>
                <c:pt idx="36">
                  <c:v>4757.4557808380587</c:v>
                </c:pt>
                <c:pt idx="37">
                  <c:v>4895.7450891381186</c:v>
                </c:pt>
                <c:pt idx="38">
                  <c:v>4748.9309753905891</c:v>
                </c:pt>
                <c:pt idx="39">
                  <c:v>4815.2942547663242</c:v>
                </c:pt>
                <c:pt idx="40">
                  <c:v>4821.491872451531</c:v>
                </c:pt>
                <c:pt idx="41">
                  <c:v>4816.1815058535303</c:v>
                </c:pt>
                <c:pt idx="42">
                  <c:v>4816.0606980578659</c:v>
                </c:pt>
                <c:pt idx="43">
                  <c:v>4709.6070250841367</c:v>
                </c:pt>
                <c:pt idx="44">
                  <c:v>4799.9534926205679</c:v>
                </c:pt>
                <c:pt idx="45">
                  <c:v>4884.7672872002231</c:v>
                </c:pt>
                <c:pt idx="46">
                  <c:v>4717.8603907581191</c:v>
                </c:pt>
                <c:pt idx="47">
                  <c:v>4868.8506247721734</c:v>
                </c:pt>
                <c:pt idx="48">
                  <c:v>4709.4918980951652</c:v>
                </c:pt>
                <c:pt idx="49">
                  <c:v>4784.540590057899</c:v>
                </c:pt>
                <c:pt idx="50">
                  <c:v>4790.7859248238856</c:v>
                </c:pt>
                <c:pt idx="51">
                  <c:v>4785.287591660097</c:v>
                </c:pt>
                <c:pt idx="52">
                  <c:v>4786.4266339869282</c:v>
                </c:pt>
                <c:pt idx="53">
                  <c:v>4667.2259615303101</c:v>
                </c:pt>
                <c:pt idx="54">
                  <c:v>4769.1898584725723</c:v>
                </c:pt>
                <c:pt idx="55">
                  <c:v>4858.3955009197807</c:v>
                </c:pt>
                <c:pt idx="56">
                  <c:v>4681.5426214151885</c:v>
                </c:pt>
                <c:pt idx="57">
                  <c:v>4842.1859511033126</c:v>
                </c:pt>
                <c:pt idx="58">
                  <c:v>4668.7461555742066</c:v>
                </c:pt>
                <c:pt idx="59">
                  <c:v>4778.6982212642943</c:v>
                </c:pt>
                <c:pt idx="60">
                  <c:v>4765.3045546061048</c:v>
                </c:pt>
                <c:pt idx="61">
                  <c:v>4753.4633469816808</c:v>
                </c:pt>
                <c:pt idx="62">
                  <c:v>4753.786609572493</c:v>
                </c:pt>
                <c:pt idx="63">
                  <c:v>4621.9497293642926</c:v>
                </c:pt>
                <c:pt idx="64">
                  <c:v>4733.7263718284548</c:v>
                </c:pt>
                <c:pt idx="65">
                  <c:v>4830.0692123801527</c:v>
                </c:pt>
                <c:pt idx="66">
                  <c:v>4633.0298688995699</c:v>
                </c:pt>
                <c:pt idx="67">
                  <c:v>4814.9313462695927</c:v>
                </c:pt>
                <c:pt idx="68">
                  <c:v>4625.9865716368704</c:v>
                </c:pt>
                <c:pt idx="69">
                  <c:v>4716.560927790918</c:v>
                </c:pt>
                <c:pt idx="70">
                  <c:v>4722.317477937997</c:v>
                </c:pt>
                <c:pt idx="71">
                  <c:v>4717.5028470791694</c:v>
                </c:pt>
                <c:pt idx="72">
                  <c:v>4718.2753566796373</c:v>
                </c:pt>
                <c:pt idx="73">
                  <c:v>4571.8444796249669</c:v>
                </c:pt>
                <c:pt idx="74">
                  <c:v>4700.6725738155192</c:v>
                </c:pt>
                <c:pt idx="75">
                  <c:v>4803.6224330934274</c:v>
                </c:pt>
                <c:pt idx="76">
                  <c:v>4586.2122481201732</c:v>
                </c:pt>
                <c:pt idx="77">
                  <c:v>4787.2049725337611</c:v>
                </c:pt>
                <c:pt idx="78">
                  <c:v>4569.1430476081478</c:v>
                </c:pt>
                <c:pt idx="79">
                  <c:v>4679.8417751752668</c:v>
                </c:pt>
                <c:pt idx="80">
                  <c:v>4690.857277917652</c:v>
                </c:pt>
                <c:pt idx="81">
                  <c:v>4685.8486540271097</c:v>
                </c:pt>
                <c:pt idx="82">
                  <c:v>4685.4030537117569</c:v>
                </c:pt>
                <c:pt idx="83">
                  <c:v>4527.6480413349946</c:v>
                </c:pt>
                <c:pt idx="84">
                  <c:v>4669.2211678661961</c:v>
                </c:pt>
                <c:pt idx="85">
                  <c:v>4776.0837052719926</c:v>
                </c:pt>
                <c:pt idx="86">
                  <c:v>4531.6923834168338</c:v>
                </c:pt>
                <c:pt idx="87">
                  <c:v>4759.3263555097783</c:v>
                </c:pt>
                <c:pt idx="88">
                  <c:v>4522.9598501224955</c:v>
                </c:pt>
                <c:pt idx="89">
                  <c:v>4646.681129464323</c:v>
                </c:pt>
                <c:pt idx="90">
                  <c:v>4649.8582104134348</c:v>
                </c:pt>
                <c:pt idx="91">
                  <c:v>4646.0527879504589</c:v>
                </c:pt>
                <c:pt idx="92">
                  <c:v>4645.816559641582</c:v>
                </c:pt>
                <c:pt idx="93">
                  <c:v>4458.5209326229406</c:v>
                </c:pt>
                <c:pt idx="94">
                  <c:v>4627.2245695684242</c:v>
                </c:pt>
                <c:pt idx="95">
                  <c:v>4746.9815442130166</c:v>
                </c:pt>
                <c:pt idx="96">
                  <c:v>4488.6511459101575</c:v>
                </c:pt>
                <c:pt idx="97">
                  <c:v>4731.1151414002697</c:v>
                </c:pt>
                <c:pt idx="98">
                  <c:v>4468.0041936878515</c:v>
                </c:pt>
                <c:pt idx="99">
                  <c:v>4606.7946648525385</c:v>
                </c:pt>
                <c:pt idx="100">
                  <c:v>4614.6097634427751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2F67-42A2-8C4A-E904F4472C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935567"/>
        <c:axId val="1202921167"/>
      </c:scatterChart>
      <c:valAx>
        <c:axId val="120293556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Cycle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21167"/>
        <c:crosses val="autoZero"/>
        <c:crossBetween val="midCat"/>
        <c:majorUnit val="10"/>
        <c:minorUnit val="1"/>
      </c:valAx>
      <c:valAx>
        <c:axId val="1202921167"/>
        <c:scaling>
          <c:orientation val="minMax"/>
          <c:min val="44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Discharge capacity [mAh]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35567"/>
        <c:crosses val="autoZero"/>
        <c:crossBetween val="midCat"/>
        <c:majorUnit val="50"/>
      </c:valAx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600" b="1"/>
              <a:t>Dynamic load profile C - 100 cycles - Avg. discharge capacity cell 19-24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>
        <c:manualLayout>
          <c:layoutTarget val="inner"/>
          <c:xMode val="edge"/>
          <c:yMode val="edge"/>
          <c:x val="8.8318171525488376E-2"/>
          <c:y val="0.11782944670926304"/>
          <c:w val="0.83522437090294432"/>
          <c:h val="0.73241822644356036"/>
        </c:manualLayout>
      </c:layout>
      <c:scatterChart>
        <c:scatterStyle val="lineMarker"/>
        <c:varyColors val="0"/>
        <c:ser>
          <c:idx val="5"/>
          <c:order val="0"/>
          <c:tx>
            <c:v>Avg. Disch. Cap.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'Avg. Disch. Cap.'!$P$32:$P$327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'Avg. Disch. Cap.'!$Q$32:$Q$327</c:f>
              <c:numCache>
                <c:formatCode>0.00</c:formatCode>
                <c:ptCount val="100"/>
                <c:pt idx="0">
                  <c:v>4930.7915215999928</c:v>
                </c:pt>
                <c:pt idx="1">
                  <c:v>4964.7405103012525</c:v>
                </c:pt>
                <c:pt idx="2">
                  <c:v>4891.0081777760824</c:v>
                </c:pt>
                <c:pt idx="3">
                  <c:v>4940.0789731031482</c:v>
                </c:pt>
                <c:pt idx="4">
                  <c:v>5007.3917019884766</c:v>
                </c:pt>
                <c:pt idx="5">
                  <c:v>4889.2730006089469</c:v>
                </c:pt>
                <c:pt idx="6">
                  <c:v>4987.308789514509</c:v>
                </c:pt>
                <c:pt idx="7">
                  <c:v>4873.7150528484917</c:v>
                </c:pt>
                <c:pt idx="8">
                  <c:v>4914.7840599382862</c:v>
                </c:pt>
                <c:pt idx="9">
                  <c:v>4919.179470504876</c:v>
                </c:pt>
                <c:pt idx="10">
                  <c:v>4912.9753365815259</c:v>
                </c:pt>
                <c:pt idx="11">
                  <c:v>4912.8509860436461</c:v>
                </c:pt>
                <c:pt idx="12">
                  <c:v>4833.5375279748732</c:v>
                </c:pt>
                <c:pt idx="13">
                  <c:v>4894.4880765579037</c:v>
                </c:pt>
                <c:pt idx="14">
                  <c:v>4966.3491220410915</c:v>
                </c:pt>
                <c:pt idx="15">
                  <c:v>4835.3610709148916</c:v>
                </c:pt>
                <c:pt idx="16">
                  <c:v>4949.3954501976614</c:v>
                </c:pt>
                <c:pt idx="17">
                  <c:v>4824.0749544701866</c:v>
                </c:pt>
                <c:pt idx="18">
                  <c:v>4877.0808509165308</c:v>
                </c:pt>
                <c:pt idx="19">
                  <c:v>4882.9238138936225</c:v>
                </c:pt>
                <c:pt idx="20">
                  <c:v>4876.1921540723224</c:v>
                </c:pt>
                <c:pt idx="21">
                  <c:v>4877.4744948274738</c:v>
                </c:pt>
                <c:pt idx="22">
                  <c:v>4796.8198402253247</c:v>
                </c:pt>
                <c:pt idx="23">
                  <c:v>4859.3746528572519</c:v>
                </c:pt>
                <c:pt idx="24">
                  <c:v>4934.8277087589613</c:v>
                </c:pt>
                <c:pt idx="25">
                  <c:v>4796.6711787806344</c:v>
                </c:pt>
                <c:pt idx="26">
                  <c:v>4918.0847879207895</c:v>
                </c:pt>
                <c:pt idx="27">
                  <c:v>4787.4595780385944</c:v>
                </c:pt>
                <c:pt idx="28">
                  <c:v>4843.3745397568155</c:v>
                </c:pt>
                <c:pt idx="29">
                  <c:v>4849.5908259016242</c:v>
                </c:pt>
                <c:pt idx="30">
                  <c:v>4844.5786939902064</c:v>
                </c:pt>
                <c:pt idx="31">
                  <c:v>4845.1270980801892</c:v>
                </c:pt>
                <c:pt idx="32">
                  <c:v>4752.2500373351531</c:v>
                </c:pt>
                <c:pt idx="33">
                  <c:v>4828.1058367171627</c:v>
                </c:pt>
                <c:pt idx="34">
                  <c:v>4906.6707268733981</c:v>
                </c:pt>
                <c:pt idx="35">
                  <c:v>4759.6138349878065</c:v>
                </c:pt>
                <c:pt idx="36">
                  <c:v>4889.8666858464103</c:v>
                </c:pt>
                <c:pt idx="37">
                  <c:v>4750.7913326283096</c:v>
                </c:pt>
                <c:pt idx="38">
                  <c:v>4812.3970959114295</c:v>
                </c:pt>
                <c:pt idx="39">
                  <c:v>4819.5223650282996</c:v>
                </c:pt>
                <c:pt idx="40">
                  <c:v>4813.7021243949375</c:v>
                </c:pt>
                <c:pt idx="41">
                  <c:v>4813.9774563846286</c:v>
                </c:pt>
                <c:pt idx="42">
                  <c:v>4714.5875129631049</c:v>
                </c:pt>
                <c:pt idx="43">
                  <c:v>4797.6409358584197</c:v>
                </c:pt>
                <c:pt idx="44">
                  <c:v>4879.3721538745203</c:v>
                </c:pt>
                <c:pt idx="45">
                  <c:v>4722.8594722850949</c:v>
                </c:pt>
                <c:pt idx="46">
                  <c:v>4863.6540938684166</c:v>
                </c:pt>
                <c:pt idx="47">
                  <c:v>4715.7430671411103</c:v>
                </c:pt>
                <c:pt idx="48">
                  <c:v>4783.2485101260563</c:v>
                </c:pt>
                <c:pt idx="49">
                  <c:v>4790.0725206561956</c:v>
                </c:pt>
                <c:pt idx="50">
                  <c:v>4785.3928347235997</c:v>
                </c:pt>
                <c:pt idx="51">
                  <c:v>4786.1290177852379</c:v>
                </c:pt>
                <c:pt idx="52">
                  <c:v>4678.6761538575656</c:v>
                </c:pt>
                <c:pt idx="53">
                  <c:v>4769.2277186137462</c:v>
                </c:pt>
                <c:pt idx="54">
                  <c:v>4853.9908574793226</c:v>
                </c:pt>
                <c:pt idx="55">
                  <c:v>4692.0034428521367</c:v>
                </c:pt>
                <c:pt idx="56">
                  <c:v>4837.8145599326344</c:v>
                </c:pt>
                <c:pt idx="57">
                  <c:v>4678.707541630286</c:v>
                </c:pt>
                <c:pt idx="58">
                  <c:v>4778.9154773460032</c:v>
                </c:pt>
                <c:pt idx="59">
                  <c:v>4770.8306213247652</c:v>
                </c:pt>
                <c:pt idx="60">
                  <c:v>4754.882790083896</c:v>
                </c:pt>
                <c:pt idx="61">
                  <c:v>4755.8720254797408</c:v>
                </c:pt>
                <c:pt idx="62">
                  <c:v>4636.0584824266934</c:v>
                </c:pt>
                <c:pt idx="63">
                  <c:v>4738.0840685921294</c:v>
                </c:pt>
                <c:pt idx="64">
                  <c:v>4828.1002540697791</c:v>
                </c:pt>
                <c:pt idx="65">
                  <c:v>4649.4109743097406</c:v>
                </c:pt>
                <c:pt idx="66">
                  <c:v>4811.5075297621579</c:v>
                </c:pt>
                <c:pt idx="67">
                  <c:v>4640.0839616730109</c:v>
                </c:pt>
                <c:pt idx="68">
                  <c:v>4721.6253885752312</c:v>
                </c:pt>
                <c:pt idx="69">
                  <c:v>4727.9583529722595</c:v>
                </c:pt>
                <c:pt idx="70">
                  <c:v>4723.0948055393073</c:v>
                </c:pt>
                <c:pt idx="71">
                  <c:v>4723.965848896124</c:v>
                </c:pt>
                <c:pt idx="72">
                  <c:v>4592.6706886905213</c:v>
                </c:pt>
                <c:pt idx="73">
                  <c:v>4707.117915363292</c:v>
                </c:pt>
                <c:pt idx="74">
                  <c:v>4802.5275903955762</c:v>
                </c:pt>
                <c:pt idx="75">
                  <c:v>4606.8919113408447</c:v>
                </c:pt>
                <c:pt idx="76">
                  <c:v>4786.59954703311</c:v>
                </c:pt>
                <c:pt idx="77">
                  <c:v>4593.5424307480598</c:v>
                </c:pt>
                <c:pt idx="78">
                  <c:v>4687.1367559460732</c:v>
                </c:pt>
                <c:pt idx="79">
                  <c:v>4694.0409424635973</c:v>
                </c:pt>
                <c:pt idx="80">
                  <c:v>4690.6109476770971</c:v>
                </c:pt>
                <c:pt idx="81">
                  <c:v>4690.365924060934</c:v>
                </c:pt>
                <c:pt idx="82">
                  <c:v>4541.9121465699691</c:v>
                </c:pt>
                <c:pt idx="83">
                  <c:v>4675.4137151409059</c:v>
                </c:pt>
                <c:pt idx="84">
                  <c:v>4776.6279867769272</c:v>
                </c:pt>
                <c:pt idx="85">
                  <c:v>4563.0881721740434</c:v>
                </c:pt>
                <c:pt idx="86">
                  <c:v>4761.1474371201139</c:v>
                </c:pt>
                <c:pt idx="87">
                  <c:v>4558.1250577864812</c:v>
                </c:pt>
                <c:pt idx="88">
                  <c:v>4660.8020150386137</c:v>
                </c:pt>
                <c:pt idx="89">
                  <c:v>4666.2848966413194</c:v>
                </c:pt>
                <c:pt idx="90">
                  <c:v>4662.1867422058895</c:v>
                </c:pt>
                <c:pt idx="91">
                  <c:v>4662.2678590603264</c:v>
                </c:pt>
                <c:pt idx="92">
                  <c:v>4504.8858542155876</c:v>
                </c:pt>
                <c:pt idx="93">
                  <c:v>4642.8619317074008</c:v>
                </c:pt>
                <c:pt idx="94">
                  <c:v>4750.9416426125144</c:v>
                </c:pt>
                <c:pt idx="95">
                  <c:v>4523.0424048571722</c:v>
                </c:pt>
                <c:pt idx="96">
                  <c:v>4734.9655735626138</c:v>
                </c:pt>
                <c:pt idx="97">
                  <c:v>4510.0754536733275</c:v>
                </c:pt>
                <c:pt idx="98">
                  <c:v>4625.8593211783918</c:v>
                </c:pt>
                <c:pt idx="99">
                  <c:v>4630.5092850088586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73-4995-89C6-6A3BAB4BD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935567"/>
        <c:axId val="1202921167"/>
      </c:scatterChart>
      <c:valAx>
        <c:axId val="120293556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Cycle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21167"/>
        <c:crosses val="autoZero"/>
        <c:crossBetween val="midCat"/>
        <c:majorUnit val="10"/>
        <c:minorUnit val="1"/>
      </c:valAx>
      <c:valAx>
        <c:axId val="120292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Discharge capacity [mAh]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35567"/>
        <c:crosses val="autoZero"/>
        <c:crossBetween val="midCat"/>
        <c:majorUnit val="50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753969</xdr:colOff>
      <xdr:row>0</xdr:row>
      <xdr:rowOff>1</xdr:rowOff>
    </xdr:from>
    <xdr:to>
      <xdr:col>14</xdr:col>
      <xdr:colOff>123265</xdr:colOff>
      <xdr:row>29</xdr:row>
      <xdr:rowOff>112059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11FF0BC6-6EFC-427E-B431-E8A3101D8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18</xdr:col>
      <xdr:colOff>244477</xdr:colOff>
      <xdr:row>28</xdr:row>
      <xdr:rowOff>23158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BC53E9B5-2AEF-4FCA-BFE5-414E8EF714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CF5FB-935B-4737-95B0-3280ED111CBF}">
  <dimension ref="B13:AC133"/>
  <sheetViews>
    <sheetView topLeftCell="P1" zoomScale="86" zoomScaleNormal="130" workbookViewId="0">
      <selection activeCell="V25" sqref="V25"/>
    </sheetView>
  </sheetViews>
  <sheetFormatPr baseColWidth="10" defaultRowHeight="15" x14ac:dyDescent="0.25"/>
  <sheetData>
    <row r="13" spans="24:29" ht="51.75" x14ac:dyDescent="0.25">
      <c r="X13" s="10" t="s">
        <v>9</v>
      </c>
      <c r="Y13" s="10" t="s">
        <v>10</v>
      </c>
      <c r="Z13" s="10" t="s">
        <v>11</v>
      </c>
      <c r="AA13" s="11" t="s">
        <v>12</v>
      </c>
      <c r="AB13" s="10" t="s">
        <v>13</v>
      </c>
      <c r="AC13" s="10" t="s">
        <v>14</v>
      </c>
    </row>
    <row r="14" spans="24:29" x14ac:dyDescent="0.25">
      <c r="X14" s="12"/>
      <c r="Y14" s="13" t="s">
        <v>16</v>
      </c>
      <c r="Z14" s="13"/>
      <c r="AA14" s="12">
        <v>5102.8900000000003</v>
      </c>
      <c r="AB14" s="13">
        <v>4630</v>
      </c>
      <c r="AC14" s="13">
        <f t="shared" ref="AC14:AC19" si="0">AB14/AA14</f>
        <v>0.90732898416387575</v>
      </c>
    </row>
    <row r="15" spans="24:29" x14ac:dyDescent="0.25">
      <c r="X15" s="12"/>
      <c r="Y15" s="13" t="s">
        <v>17</v>
      </c>
      <c r="Z15" s="13"/>
      <c r="AA15" s="12">
        <v>5094.4799999999996</v>
      </c>
      <c r="AB15" s="13">
        <v>4615</v>
      </c>
      <c r="AC15" s="13">
        <f t="shared" si="0"/>
        <v>0.90588244531335882</v>
      </c>
    </row>
    <row r="16" spans="24:29" x14ac:dyDescent="0.25">
      <c r="X16" s="12"/>
      <c r="Y16" s="13" t="s">
        <v>18</v>
      </c>
      <c r="Z16" s="13"/>
      <c r="AA16" s="12">
        <v>5100.5</v>
      </c>
      <c r="AB16" s="13">
        <v>4620</v>
      </c>
      <c r="AC16" s="13">
        <f t="shared" si="0"/>
        <v>0.90579354965199488</v>
      </c>
    </row>
    <row r="17" spans="3:29" x14ac:dyDescent="0.25">
      <c r="X17" s="12"/>
      <c r="Y17" s="13" t="s">
        <v>19</v>
      </c>
      <c r="Z17" s="13"/>
      <c r="AA17" s="12">
        <v>5104.5600000000004</v>
      </c>
      <c r="AB17" s="13">
        <v>4622</v>
      </c>
      <c r="AC17" s="13">
        <f t="shared" si="0"/>
        <v>0.90546491764226489</v>
      </c>
    </row>
    <row r="18" spans="3:29" x14ac:dyDescent="0.25">
      <c r="X18" s="12"/>
      <c r="Y18" s="13" t="s">
        <v>20</v>
      </c>
      <c r="Z18" s="13"/>
      <c r="AA18" s="12">
        <v>5105.92</v>
      </c>
      <c r="AB18" s="13">
        <v>4600</v>
      </c>
      <c r="AC18" s="13">
        <f t="shared" si="0"/>
        <v>0.90091501629481074</v>
      </c>
    </row>
    <row r="19" spans="3:29" x14ac:dyDescent="0.25">
      <c r="X19" s="14"/>
      <c r="Y19" s="13" t="s">
        <v>21</v>
      </c>
      <c r="Z19" s="13"/>
      <c r="AA19" s="14">
        <v>5105.3999999999996</v>
      </c>
      <c r="AB19" s="23">
        <v>4595</v>
      </c>
      <c r="AC19" s="13">
        <f t="shared" si="0"/>
        <v>0.9000274219453912</v>
      </c>
    </row>
    <row r="20" spans="3:29" x14ac:dyDescent="0.25">
      <c r="X20" s="15"/>
      <c r="Y20" s="16"/>
      <c r="Z20" s="17"/>
      <c r="AA20" s="22">
        <f>AVERAGE(AA14:AA19)</f>
        <v>5102.291666666667</v>
      </c>
      <c r="AB20" s="22">
        <f>AVERAGE(AB14:AB19)</f>
        <v>4613.666666666667</v>
      </c>
      <c r="AC20" s="17"/>
    </row>
    <row r="21" spans="3:29" x14ac:dyDescent="0.25">
      <c r="Y21" s="16"/>
      <c r="Z21" s="17"/>
      <c r="AA21" s="17"/>
      <c r="AB21" s="18" t="s">
        <v>15</v>
      </c>
      <c r="AC21" s="19">
        <f>AVERAGE(AC14:AC19)</f>
        <v>0.9042353891686159</v>
      </c>
    </row>
    <row r="23" spans="3:29" x14ac:dyDescent="0.25">
      <c r="X23" t="s">
        <v>22</v>
      </c>
      <c r="AB23" s="15">
        <f>_xlfn.STDEV.S(AB14:AB19)</f>
        <v>13.515423288475528</v>
      </c>
    </row>
    <row r="32" spans="3:29" x14ac:dyDescent="0.25">
      <c r="C32" s="7" t="s">
        <v>2</v>
      </c>
      <c r="E32" s="7" t="s">
        <v>3</v>
      </c>
      <c r="G32" s="7" t="s">
        <v>4</v>
      </c>
      <c r="I32" s="7" t="s">
        <v>5</v>
      </c>
      <c r="K32" s="7" t="s">
        <v>6</v>
      </c>
      <c r="M32" s="7" t="s">
        <v>7</v>
      </c>
    </row>
    <row r="33" spans="2:13" x14ac:dyDescent="0.25">
      <c r="B33">
        <v>0</v>
      </c>
      <c r="C33">
        <v>5102.8900000000003</v>
      </c>
      <c r="D33">
        <v>0</v>
      </c>
      <c r="E33">
        <v>5094.4799999999996</v>
      </c>
      <c r="F33">
        <v>0</v>
      </c>
      <c r="G33">
        <v>5100.5</v>
      </c>
      <c r="H33">
        <v>0</v>
      </c>
      <c r="I33">
        <v>5104.5600000000004</v>
      </c>
      <c r="J33">
        <v>0</v>
      </c>
      <c r="K33">
        <v>5105.92</v>
      </c>
      <c r="L33">
        <v>0</v>
      </c>
      <c r="M33">
        <v>5105.3999999999996</v>
      </c>
    </row>
    <row r="34" spans="2:13" x14ac:dyDescent="0.25">
      <c r="B34">
        <v>1</v>
      </c>
      <c r="C34">
        <v>4933.5150742181868</v>
      </c>
      <c r="D34">
        <v>1</v>
      </c>
      <c r="E34">
        <v>4926.5090246517984</v>
      </c>
      <c r="F34">
        <v>1</v>
      </c>
      <c r="G34">
        <v>4925.9163212193653</v>
      </c>
      <c r="H34">
        <v>1</v>
      </c>
      <c r="I34">
        <v>4934.0576036553839</v>
      </c>
      <c r="J34">
        <v>1</v>
      </c>
      <c r="K34">
        <v>4932.1872150589588</v>
      </c>
      <c r="L34">
        <v>1</v>
      </c>
      <c r="M34">
        <v>4932.5638907962657</v>
      </c>
    </row>
    <row r="35" spans="2:13" x14ac:dyDescent="0.25">
      <c r="B35">
        <v>2</v>
      </c>
      <c r="C35">
        <v>4965.3787081542505</v>
      </c>
      <c r="D35">
        <v>2</v>
      </c>
      <c r="E35">
        <v>4958.0072978391518</v>
      </c>
      <c r="F35">
        <v>2</v>
      </c>
      <c r="G35">
        <v>4959.8198343972272</v>
      </c>
      <c r="H35">
        <v>2</v>
      </c>
      <c r="I35">
        <v>4967.3181999864373</v>
      </c>
      <c r="J35">
        <v>2</v>
      </c>
      <c r="K35">
        <v>4967.8067179963209</v>
      </c>
      <c r="L35">
        <v>2</v>
      </c>
      <c r="M35">
        <v>4970.1123034341281</v>
      </c>
    </row>
    <row r="36" spans="2:13" x14ac:dyDescent="0.25">
      <c r="B36">
        <v>3</v>
      </c>
      <c r="C36">
        <v>4890.0360115036074</v>
      </c>
      <c r="D36">
        <v>3</v>
      </c>
      <c r="E36">
        <v>4885.2309724235574</v>
      </c>
      <c r="F36">
        <v>3</v>
      </c>
      <c r="G36">
        <v>4885.9604636623344</v>
      </c>
      <c r="H36">
        <v>3</v>
      </c>
      <c r="I36">
        <v>4894.8732079126503</v>
      </c>
      <c r="J36">
        <v>3</v>
      </c>
      <c r="K36">
        <v>4893.1063731848126</v>
      </c>
      <c r="L36">
        <v>3</v>
      </c>
      <c r="M36">
        <v>4896.8420379695326</v>
      </c>
    </row>
    <row r="37" spans="2:13" x14ac:dyDescent="0.25">
      <c r="B37">
        <v>4</v>
      </c>
      <c r="C37">
        <v>4944.0078306333344</v>
      </c>
      <c r="D37">
        <v>4</v>
      </c>
      <c r="E37">
        <v>4933.4299064113329</v>
      </c>
      <c r="F37">
        <v>4</v>
      </c>
      <c r="G37">
        <v>4934.6002852589372</v>
      </c>
      <c r="H37">
        <v>4</v>
      </c>
      <c r="I37">
        <v>4941.8191316344955</v>
      </c>
      <c r="J37">
        <v>4</v>
      </c>
      <c r="K37">
        <v>4943.5459247814997</v>
      </c>
      <c r="L37">
        <v>4</v>
      </c>
      <c r="M37">
        <v>4943.0707598992904</v>
      </c>
    </row>
    <row r="38" spans="2:13" x14ac:dyDescent="0.25">
      <c r="B38">
        <v>5</v>
      </c>
      <c r="C38">
        <v>5008.6706687690212</v>
      </c>
      <c r="D38">
        <v>5</v>
      </c>
      <c r="E38">
        <v>4998.7321908140684</v>
      </c>
      <c r="F38">
        <v>5</v>
      </c>
      <c r="G38">
        <v>5004.496858125005</v>
      </c>
      <c r="H38">
        <v>5</v>
      </c>
      <c r="I38">
        <v>5008.4719096242052</v>
      </c>
      <c r="J38">
        <v>5</v>
      </c>
      <c r="K38">
        <v>5011.2811682476713</v>
      </c>
      <c r="L38">
        <v>5</v>
      </c>
      <c r="M38">
        <v>5012.6974163508912</v>
      </c>
    </row>
    <row r="39" spans="2:13" x14ac:dyDescent="0.25">
      <c r="B39">
        <v>6</v>
      </c>
      <c r="C39">
        <v>4893.8980394276168</v>
      </c>
      <c r="D39">
        <v>6</v>
      </c>
      <c r="E39">
        <v>4886.002114858049</v>
      </c>
      <c r="F39">
        <v>6</v>
      </c>
      <c r="G39">
        <v>4880.8774988767655</v>
      </c>
      <c r="H39">
        <v>6</v>
      </c>
      <c r="I39">
        <v>4886.9693124115183</v>
      </c>
      <c r="J39">
        <v>6</v>
      </c>
      <c r="K39">
        <v>4895.494052160424</v>
      </c>
      <c r="L39">
        <v>6</v>
      </c>
      <c r="M39">
        <v>4892.3969859193139</v>
      </c>
    </row>
    <row r="40" spans="2:13" x14ac:dyDescent="0.25">
      <c r="B40">
        <v>7</v>
      </c>
      <c r="C40">
        <v>4989.3723025440177</v>
      </c>
      <c r="D40">
        <v>7</v>
      </c>
      <c r="E40">
        <v>4977.8353610877984</v>
      </c>
      <c r="F40">
        <v>7</v>
      </c>
      <c r="G40">
        <v>4983.9960625365584</v>
      </c>
      <c r="H40">
        <v>7</v>
      </c>
      <c r="I40">
        <v>4988.5160154031355</v>
      </c>
      <c r="J40">
        <v>7</v>
      </c>
      <c r="K40">
        <v>4991.3000122919902</v>
      </c>
      <c r="L40">
        <v>7</v>
      </c>
      <c r="M40">
        <v>4992.832983223554</v>
      </c>
    </row>
    <row r="41" spans="2:13" x14ac:dyDescent="0.25">
      <c r="B41">
        <v>8</v>
      </c>
      <c r="C41">
        <v>4877.843747191916</v>
      </c>
      <c r="D41">
        <v>8</v>
      </c>
      <c r="E41">
        <v>4870.2731816332243</v>
      </c>
      <c r="F41">
        <v>8</v>
      </c>
      <c r="G41">
        <v>4869.4397262277153</v>
      </c>
      <c r="H41">
        <v>8</v>
      </c>
      <c r="I41">
        <v>4875.2163324517005</v>
      </c>
      <c r="J41">
        <v>8</v>
      </c>
      <c r="K41">
        <v>4876.7359390232532</v>
      </c>
      <c r="L41">
        <v>8</v>
      </c>
      <c r="M41">
        <v>4872.7813905631428</v>
      </c>
    </row>
    <row r="42" spans="2:13" x14ac:dyDescent="0.25">
      <c r="B42">
        <v>9</v>
      </c>
      <c r="C42">
        <v>4918.3333594008291</v>
      </c>
      <c r="D42">
        <v>9</v>
      </c>
      <c r="E42">
        <v>4906.4895323109786</v>
      </c>
      <c r="F42">
        <v>9</v>
      </c>
      <c r="G42">
        <v>4910.0393901053712</v>
      </c>
      <c r="H42">
        <v>9</v>
      </c>
      <c r="I42">
        <v>4916.2769673541707</v>
      </c>
      <c r="J42">
        <v>9</v>
      </c>
      <c r="K42">
        <v>4919.0063407593907</v>
      </c>
      <c r="L42">
        <v>9</v>
      </c>
      <c r="M42">
        <v>4918.5587696989733</v>
      </c>
    </row>
    <row r="43" spans="2:13" x14ac:dyDescent="0.25">
      <c r="B43">
        <v>10</v>
      </c>
      <c r="C43">
        <v>4922.0176379457971</v>
      </c>
      <c r="D43">
        <v>10</v>
      </c>
      <c r="E43">
        <v>4910.6089271636019</v>
      </c>
      <c r="F43">
        <v>10</v>
      </c>
      <c r="G43">
        <v>4914.3917972160771</v>
      </c>
      <c r="H43">
        <v>10</v>
      </c>
      <c r="I43">
        <v>4920.3595750362401</v>
      </c>
      <c r="J43">
        <v>10</v>
      </c>
      <c r="K43">
        <v>4924.0816166933701</v>
      </c>
      <c r="L43">
        <v>10</v>
      </c>
      <c r="M43">
        <v>4923.6172689741688</v>
      </c>
    </row>
    <row r="44" spans="2:13" x14ac:dyDescent="0.25">
      <c r="B44">
        <v>11</v>
      </c>
      <c r="C44">
        <v>4914.5555638208589</v>
      </c>
      <c r="D44">
        <v>11</v>
      </c>
      <c r="E44">
        <v>4904.883314895349</v>
      </c>
      <c r="F44">
        <v>11</v>
      </c>
      <c r="G44">
        <v>4909.0504793876044</v>
      </c>
      <c r="H44">
        <v>11</v>
      </c>
      <c r="I44">
        <v>4914.1740045607521</v>
      </c>
      <c r="J44">
        <v>11</v>
      </c>
      <c r="K44">
        <v>4917.7009780609169</v>
      </c>
      <c r="L44">
        <v>11</v>
      </c>
      <c r="M44">
        <v>4917.4876787636795</v>
      </c>
    </row>
    <row r="45" spans="2:13" x14ac:dyDescent="0.25">
      <c r="B45">
        <v>12</v>
      </c>
      <c r="C45">
        <v>4915.5810591032778</v>
      </c>
      <c r="D45">
        <v>12</v>
      </c>
      <c r="E45">
        <v>4905.8890597051613</v>
      </c>
      <c r="F45">
        <v>12</v>
      </c>
      <c r="G45">
        <v>4908.2541682561478</v>
      </c>
      <c r="H45">
        <v>12</v>
      </c>
      <c r="I45">
        <v>4913.1254974017284</v>
      </c>
      <c r="J45">
        <v>12</v>
      </c>
      <c r="K45">
        <v>4917.5481646787548</v>
      </c>
      <c r="L45">
        <v>12</v>
      </c>
      <c r="M45">
        <v>4916.7079671168067</v>
      </c>
    </row>
    <row r="46" spans="2:13" x14ac:dyDescent="0.25">
      <c r="B46">
        <v>13</v>
      </c>
      <c r="C46">
        <v>4836.5529557996997</v>
      </c>
      <c r="D46">
        <v>13</v>
      </c>
      <c r="E46">
        <v>4827.5643057568896</v>
      </c>
      <c r="F46">
        <v>13</v>
      </c>
      <c r="G46">
        <v>4829.9073580275171</v>
      </c>
      <c r="H46">
        <v>13</v>
      </c>
      <c r="I46">
        <v>4836.3753225587689</v>
      </c>
      <c r="J46">
        <v>13</v>
      </c>
      <c r="K46">
        <v>4837.675100455227</v>
      </c>
      <c r="L46">
        <v>13</v>
      </c>
      <c r="M46">
        <v>4833.150125251138</v>
      </c>
    </row>
    <row r="47" spans="2:13" x14ac:dyDescent="0.25">
      <c r="B47">
        <v>14</v>
      </c>
      <c r="C47">
        <v>4897.3744171901362</v>
      </c>
      <c r="D47">
        <v>14</v>
      </c>
      <c r="E47">
        <v>4886.0029687274819</v>
      </c>
      <c r="F47">
        <v>14</v>
      </c>
      <c r="G47">
        <v>4889.9469456524503</v>
      </c>
      <c r="H47">
        <v>14</v>
      </c>
      <c r="I47">
        <v>4895.6321015911763</v>
      </c>
      <c r="J47">
        <v>14</v>
      </c>
      <c r="K47">
        <v>4899.3571431296268</v>
      </c>
      <c r="L47">
        <v>14</v>
      </c>
      <c r="M47">
        <v>4898.6148830565526</v>
      </c>
    </row>
    <row r="48" spans="2:13" x14ac:dyDescent="0.25">
      <c r="B48">
        <v>15</v>
      </c>
      <c r="C48">
        <v>4966.9479099378614</v>
      </c>
      <c r="D48">
        <v>15</v>
      </c>
      <c r="E48">
        <v>4957.2702165085666</v>
      </c>
      <c r="F48">
        <v>15</v>
      </c>
      <c r="G48">
        <v>4964.1947708179687</v>
      </c>
      <c r="H48">
        <v>15</v>
      </c>
      <c r="I48">
        <v>4967.2145501131708</v>
      </c>
      <c r="J48">
        <v>15</v>
      </c>
      <c r="K48">
        <v>4970.3135209769162</v>
      </c>
      <c r="L48">
        <v>15</v>
      </c>
      <c r="M48">
        <v>4972.1537638920681</v>
      </c>
    </row>
    <row r="49" spans="2:13" x14ac:dyDescent="0.25">
      <c r="B49">
        <v>16</v>
      </c>
      <c r="C49">
        <v>4839.7304820155478</v>
      </c>
      <c r="D49">
        <v>16</v>
      </c>
      <c r="E49">
        <v>4829.6253980061538</v>
      </c>
      <c r="F49">
        <v>16</v>
      </c>
      <c r="G49">
        <v>4832.4703900799414</v>
      </c>
      <c r="H49">
        <v>16</v>
      </c>
      <c r="I49">
        <v>4838.1479283758463</v>
      </c>
      <c r="J49">
        <v>16</v>
      </c>
      <c r="K49">
        <v>4837.3719403541791</v>
      </c>
      <c r="L49">
        <v>16</v>
      </c>
      <c r="M49">
        <v>4834.8202866576812</v>
      </c>
    </row>
    <row r="50" spans="2:13" x14ac:dyDescent="0.25">
      <c r="B50">
        <v>17</v>
      </c>
      <c r="C50">
        <v>4951.5338498088386</v>
      </c>
      <c r="D50">
        <v>17</v>
      </c>
      <c r="E50">
        <v>4939.0381017776763</v>
      </c>
      <c r="F50">
        <v>17</v>
      </c>
      <c r="G50">
        <v>4946.2788647711577</v>
      </c>
      <c r="H50">
        <v>17</v>
      </c>
      <c r="I50">
        <v>4949.7683150648936</v>
      </c>
      <c r="J50">
        <v>17</v>
      </c>
      <c r="K50">
        <v>4953.9760001017266</v>
      </c>
      <c r="L50">
        <v>17</v>
      </c>
      <c r="M50">
        <v>4955.7775696616727</v>
      </c>
    </row>
    <row r="51" spans="2:13" x14ac:dyDescent="0.25">
      <c r="B51">
        <v>18</v>
      </c>
      <c r="C51">
        <v>4827.8971900087308</v>
      </c>
      <c r="D51">
        <v>18</v>
      </c>
      <c r="E51">
        <v>4819.2284309486877</v>
      </c>
      <c r="F51">
        <v>18</v>
      </c>
      <c r="G51">
        <v>4820.3961093732778</v>
      </c>
      <c r="H51">
        <v>18</v>
      </c>
      <c r="I51">
        <v>4827.6409035036413</v>
      </c>
      <c r="J51">
        <v>18</v>
      </c>
      <c r="K51">
        <v>4825.6894642811731</v>
      </c>
      <c r="L51">
        <v>18</v>
      </c>
      <c r="M51">
        <v>4823.597628705611</v>
      </c>
    </row>
    <row r="52" spans="2:13" x14ac:dyDescent="0.25">
      <c r="B52">
        <v>19</v>
      </c>
      <c r="C52">
        <v>4881.2452385493762</v>
      </c>
      <c r="D52">
        <v>19</v>
      </c>
      <c r="E52">
        <v>4869.0804300924865</v>
      </c>
      <c r="F52">
        <v>19</v>
      </c>
      <c r="G52">
        <v>4872.3804758695524</v>
      </c>
      <c r="H52">
        <v>19</v>
      </c>
      <c r="I52">
        <v>4877.4209849698636</v>
      </c>
      <c r="J52">
        <v>19</v>
      </c>
      <c r="K52">
        <v>4881.1052200690046</v>
      </c>
      <c r="L52">
        <v>19</v>
      </c>
      <c r="M52">
        <v>4881.252755948899</v>
      </c>
    </row>
    <row r="53" spans="2:13" x14ac:dyDescent="0.25">
      <c r="B53">
        <v>20</v>
      </c>
      <c r="C53">
        <v>4885.8328230038242</v>
      </c>
      <c r="D53">
        <v>20</v>
      </c>
      <c r="E53">
        <v>4874.4184672312513</v>
      </c>
      <c r="F53">
        <v>20</v>
      </c>
      <c r="G53">
        <v>4878.5547197002452</v>
      </c>
      <c r="H53">
        <v>20</v>
      </c>
      <c r="I53">
        <v>4883.7524420792961</v>
      </c>
      <c r="J53">
        <v>20</v>
      </c>
      <c r="K53">
        <v>4886.634721692395</v>
      </c>
      <c r="L53">
        <v>20</v>
      </c>
      <c r="M53">
        <v>4888.3497096547217</v>
      </c>
    </row>
    <row r="54" spans="2:13" x14ac:dyDescent="0.25">
      <c r="B54">
        <v>21</v>
      </c>
      <c r="C54">
        <v>4878.2543801870079</v>
      </c>
      <c r="D54">
        <v>21</v>
      </c>
      <c r="E54">
        <v>4867.5482960758882</v>
      </c>
      <c r="F54">
        <v>21</v>
      </c>
      <c r="G54">
        <v>4872.9990554241585</v>
      </c>
      <c r="H54">
        <v>21</v>
      </c>
      <c r="I54">
        <v>4876.4875507574407</v>
      </c>
      <c r="J54">
        <v>21</v>
      </c>
      <c r="K54">
        <v>4881.3290947161395</v>
      </c>
      <c r="L54">
        <v>21</v>
      </c>
      <c r="M54">
        <v>4880.534547273297</v>
      </c>
    </row>
    <row r="55" spans="2:13" x14ac:dyDescent="0.25">
      <c r="B55">
        <v>22</v>
      </c>
      <c r="C55">
        <v>4881.4554684519717</v>
      </c>
      <c r="D55">
        <v>22</v>
      </c>
      <c r="E55">
        <v>4869.5626045878789</v>
      </c>
      <c r="F55">
        <v>22</v>
      </c>
      <c r="G55">
        <v>4872.8163214312963</v>
      </c>
      <c r="H55">
        <v>22</v>
      </c>
      <c r="I55">
        <v>4877.7738066173288</v>
      </c>
      <c r="J55">
        <v>22</v>
      </c>
      <c r="K55">
        <v>4881.7509422446019</v>
      </c>
      <c r="L55">
        <v>22</v>
      </c>
      <c r="M55">
        <v>4881.4878256317661</v>
      </c>
    </row>
    <row r="56" spans="2:13" x14ac:dyDescent="0.25">
      <c r="B56">
        <v>23</v>
      </c>
      <c r="C56">
        <v>4803.1372534184447</v>
      </c>
      <c r="D56">
        <v>23</v>
      </c>
      <c r="E56">
        <v>4790.4702819952017</v>
      </c>
      <c r="F56">
        <v>23</v>
      </c>
      <c r="G56">
        <v>4789.6698805981532</v>
      </c>
      <c r="H56">
        <v>23</v>
      </c>
      <c r="I56">
        <v>4797.0229506285868</v>
      </c>
      <c r="J56">
        <v>23</v>
      </c>
      <c r="K56">
        <v>4802.5449855039296</v>
      </c>
      <c r="L56">
        <v>23</v>
      </c>
      <c r="M56">
        <v>4798.0736892076329</v>
      </c>
    </row>
    <row r="57" spans="2:13" x14ac:dyDescent="0.25">
      <c r="B57">
        <v>24</v>
      </c>
      <c r="C57">
        <v>4864.0046120393681</v>
      </c>
      <c r="D57">
        <v>24</v>
      </c>
      <c r="E57">
        <v>4850.3373155141862</v>
      </c>
      <c r="F57">
        <v>24</v>
      </c>
      <c r="G57">
        <v>4854.5707715554872</v>
      </c>
      <c r="H57">
        <v>24</v>
      </c>
      <c r="I57">
        <v>4859.1647681900258</v>
      </c>
      <c r="J57">
        <v>24</v>
      </c>
      <c r="K57">
        <v>4864.3593970143183</v>
      </c>
      <c r="L57">
        <v>24</v>
      </c>
      <c r="M57">
        <v>4863.8110528301249</v>
      </c>
    </row>
    <row r="58" spans="2:13" x14ac:dyDescent="0.25">
      <c r="B58">
        <v>25</v>
      </c>
      <c r="C58">
        <v>4935.1370421233778</v>
      </c>
      <c r="D58">
        <v>25</v>
      </c>
      <c r="E58">
        <v>4924.6633185829451</v>
      </c>
      <c r="F58">
        <v>25</v>
      </c>
      <c r="G58">
        <v>4933.1068915676933</v>
      </c>
      <c r="H58">
        <v>25</v>
      </c>
      <c r="I58">
        <v>4935.8603229402443</v>
      </c>
      <c r="J58">
        <v>25</v>
      </c>
      <c r="K58">
        <v>4939.405772996618</v>
      </c>
      <c r="L58">
        <v>25</v>
      </c>
      <c r="M58">
        <v>4940.7929043428876</v>
      </c>
    </row>
    <row r="59" spans="2:13" x14ac:dyDescent="0.25">
      <c r="B59">
        <v>26</v>
      </c>
      <c r="C59">
        <v>4804.0267880606625</v>
      </c>
      <c r="D59">
        <v>26</v>
      </c>
      <c r="E59">
        <v>4793.9902278680602</v>
      </c>
      <c r="F59">
        <v>26</v>
      </c>
      <c r="G59">
        <v>4791.4191901274135</v>
      </c>
      <c r="H59">
        <v>26</v>
      </c>
      <c r="I59">
        <v>4798.3892171697898</v>
      </c>
      <c r="J59">
        <v>26</v>
      </c>
      <c r="K59">
        <v>4795.9511853292979</v>
      </c>
      <c r="L59">
        <v>26</v>
      </c>
      <c r="M59">
        <v>4796.2504641285832</v>
      </c>
    </row>
    <row r="60" spans="2:13" x14ac:dyDescent="0.25">
      <c r="B60">
        <v>27</v>
      </c>
      <c r="C60">
        <v>4920.4840346125484</v>
      </c>
      <c r="D60">
        <v>27</v>
      </c>
      <c r="E60">
        <v>4908.2137210396486</v>
      </c>
      <c r="F60">
        <v>27</v>
      </c>
      <c r="G60">
        <v>4915.2190614853816</v>
      </c>
      <c r="H60">
        <v>27</v>
      </c>
      <c r="I60">
        <v>4918.689364673668</v>
      </c>
      <c r="J60">
        <v>27</v>
      </c>
      <c r="K60">
        <v>4921.8575114654604</v>
      </c>
      <c r="L60">
        <v>27</v>
      </c>
      <c r="M60">
        <v>4924.0450342480272</v>
      </c>
    </row>
    <row r="61" spans="2:13" x14ac:dyDescent="0.25">
      <c r="B61">
        <v>28</v>
      </c>
      <c r="C61">
        <v>4794.8671566508137</v>
      </c>
      <c r="D61">
        <v>28</v>
      </c>
      <c r="E61">
        <v>4783.9012546306885</v>
      </c>
      <c r="F61">
        <v>28</v>
      </c>
      <c r="G61">
        <v>4783.755742690505</v>
      </c>
      <c r="H61">
        <v>28</v>
      </c>
      <c r="I61">
        <v>4789.3176025533421</v>
      </c>
      <c r="J61">
        <v>28</v>
      </c>
      <c r="K61">
        <v>4786.4959472461696</v>
      </c>
      <c r="L61">
        <v>28</v>
      </c>
      <c r="M61">
        <v>4786.4197644600426</v>
      </c>
    </row>
    <row r="62" spans="2:13" x14ac:dyDescent="0.25">
      <c r="B62">
        <v>29</v>
      </c>
      <c r="C62">
        <v>4847.9279280367573</v>
      </c>
      <c r="D62">
        <v>29</v>
      </c>
      <c r="E62">
        <v>4835.0171159600895</v>
      </c>
      <c r="F62">
        <v>29</v>
      </c>
      <c r="G62">
        <v>4838.9200802370233</v>
      </c>
      <c r="H62">
        <v>29</v>
      </c>
      <c r="I62">
        <v>4844.653233429126</v>
      </c>
      <c r="J62">
        <v>29</v>
      </c>
      <c r="K62">
        <v>4846.6399076405305</v>
      </c>
      <c r="L62">
        <v>29</v>
      </c>
      <c r="M62">
        <v>4847.0889732373716</v>
      </c>
    </row>
    <row r="63" spans="2:13" x14ac:dyDescent="0.25">
      <c r="B63">
        <v>30</v>
      </c>
      <c r="C63">
        <v>4853.5637918245548</v>
      </c>
      <c r="D63">
        <v>30</v>
      </c>
      <c r="E63">
        <v>4842.1444342717641</v>
      </c>
      <c r="F63">
        <v>30</v>
      </c>
      <c r="G63">
        <v>4846.4176453633754</v>
      </c>
      <c r="H63">
        <v>30</v>
      </c>
      <c r="I63">
        <v>4850.7055102023514</v>
      </c>
      <c r="J63">
        <v>30</v>
      </c>
      <c r="K63">
        <v>4852.1461837610095</v>
      </c>
      <c r="L63">
        <v>30</v>
      </c>
      <c r="M63">
        <v>4852.5673899866915</v>
      </c>
    </row>
    <row r="64" spans="2:13" x14ac:dyDescent="0.25">
      <c r="B64">
        <v>31</v>
      </c>
      <c r="C64">
        <v>4847.2707514220556</v>
      </c>
      <c r="D64">
        <v>31</v>
      </c>
      <c r="E64">
        <v>4836.7452211710452</v>
      </c>
      <c r="F64">
        <v>31</v>
      </c>
      <c r="G64">
        <v>4841.7786212625997</v>
      </c>
      <c r="H64">
        <v>31</v>
      </c>
      <c r="I64">
        <v>4847.0272182803083</v>
      </c>
      <c r="J64">
        <v>31</v>
      </c>
      <c r="K64">
        <v>4846.8845998321503</v>
      </c>
      <c r="L64">
        <v>31</v>
      </c>
      <c r="M64">
        <v>4847.7657519730765</v>
      </c>
    </row>
    <row r="65" spans="2:13" x14ac:dyDescent="0.25">
      <c r="B65">
        <v>32</v>
      </c>
      <c r="C65">
        <v>4849.7653092495102</v>
      </c>
      <c r="D65">
        <v>32</v>
      </c>
      <c r="E65">
        <v>4837.6330487101895</v>
      </c>
      <c r="F65">
        <v>32</v>
      </c>
      <c r="G65">
        <v>4841.2018056509241</v>
      </c>
      <c r="H65">
        <v>32</v>
      </c>
      <c r="I65">
        <v>4846.2787903834251</v>
      </c>
      <c r="J65">
        <v>32</v>
      </c>
      <c r="K65">
        <v>4848.0290179971689</v>
      </c>
      <c r="L65">
        <v>32</v>
      </c>
      <c r="M65">
        <v>4847.8546164899162</v>
      </c>
    </row>
    <row r="66" spans="2:13" x14ac:dyDescent="0.25">
      <c r="B66">
        <v>33</v>
      </c>
      <c r="C66">
        <v>4760.7148584725719</v>
      </c>
      <c r="D66">
        <v>33</v>
      </c>
      <c r="E66">
        <v>4751.5210029839864</v>
      </c>
      <c r="F66">
        <v>33</v>
      </c>
      <c r="G66">
        <v>4750.1275357527356</v>
      </c>
      <c r="H66">
        <v>33</v>
      </c>
      <c r="I66">
        <v>4755.2652174834484</v>
      </c>
      <c r="J66">
        <v>33</v>
      </c>
      <c r="K66">
        <v>4747.9240545764351</v>
      </c>
      <c r="L66">
        <v>33</v>
      </c>
      <c r="M66">
        <v>4747.9475547417414</v>
      </c>
    </row>
    <row r="67" spans="2:13" x14ac:dyDescent="0.25">
      <c r="B67">
        <v>34</v>
      </c>
      <c r="C67">
        <v>4833.8271900935042</v>
      </c>
      <c r="D67">
        <v>34</v>
      </c>
      <c r="E67">
        <v>4819.535235412799</v>
      </c>
      <c r="F67">
        <v>34</v>
      </c>
      <c r="G67">
        <v>4823.4528426286206</v>
      </c>
      <c r="H67">
        <v>34</v>
      </c>
      <c r="I67">
        <v>4829.4131267855173</v>
      </c>
      <c r="J67">
        <v>34</v>
      </c>
      <c r="K67">
        <v>4830.9383300272111</v>
      </c>
      <c r="L67">
        <v>34</v>
      </c>
      <c r="M67">
        <v>4831.4682953553238</v>
      </c>
    </row>
    <row r="68" spans="2:13" x14ac:dyDescent="0.25">
      <c r="B68">
        <v>35</v>
      </c>
      <c r="C68">
        <v>4909.3883512202983</v>
      </c>
      <c r="D68">
        <v>35</v>
      </c>
      <c r="E68">
        <v>4896.8404245398979</v>
      </c>
      <c r="F68">
        <v>35</v>
      </c>
      <c r="G68">
        <v>4903.8695463831882</v>
      </c>
      <c r="H68">
        <v>35</v>
      </c>
      <c r="I68">
        <v>4907.7993559421175</v>
      </c>
      <c r="J68">
        <v>35</v>
      </c>
      <c r="K68">
        <v>4910.211652806388</v>
      </c>
      <c r="L68">
        <v>35</v>
      </c>
      <c r="M68">
        <v>4911.9150303485003</v>
      </c>
    </row>
    <row r="69" spans="2:13" x14ac:dyDescent="0.25">
      <c r="B69">
        <v>36</v>
      </c>
      <c r="C69">
        <v>4767.5094313471172</v>
      </c>
      <c r="D69">
        <v>36</v>
      </c>
      <c r="E69">
        <v>4756.4184810067563</v>
      </c>
      <c r="F69">
        <v>36</v>
      </c>
      <c r="G69">
        <v>4756.1895231979524</v>
      </c>
      <c r="H69">
        <v>36</v>
      </c>
      <c r="I69">
        <v>4763.3261548112541</v>
      </c>
      <c r="J69">
        <v>36</v>
      </c>
      <c r="K69">
        <v>4756.7836387257021</v>
      </c>
      <c r="L69">
        <v>36</v>
      </c>
      <c r="M69">
        <v>4757.4557808380587</v>
      </c>
    </row>
    <row r="70" spans="2:13" x14ac:dyDescent="0.25">
      <c r="B70">
        <v>37</v>
      </c>
      <c r="C70">
        <v>4892.8383997524652</v>
      </c>
      <c r="D70">
        <v>37</v>
      </c>
      <c r="E70">
        <v>4880.28692195858</v>
      </c>
      <c r="F70">
        <v>37</v>
      </c>
      <c r="G70">
        <v>4886.0990783126927</v>
      </c>
      <c r="H70">
        <v>37</v>
      </c>
      <c r="I70">
        <v>4890.68052207048</v>
      </c>
      <c r="J70">
        <v>37</v>
      </c>
      <c r="K70">
        <v>4893.5501038461207</v>
      </c>
      <c r="L70">
        <v>37</v>
      </c>
      <c r="M70">
        <v>4895.7450891381186</v>
      </c>
    </row>
    <row r="71" spans="2:13" x14ac:dyDescent="0.25">
      <c r="B71">
        <v>38</v>
      </c>
      <c r="C71">
        <v>4758.7129922094209</v>
      </c>
      <c r="D71">
        <v>38</v>
      </c>
      <c r="E71">
        <v>4748.2735200868065</v>
      </c>
      <c r="F71">
        <v>38</v>
      </c>
      <c r="G71">
        <v>4748.0170252536809</v>
      </c>
      <c r="H71">
        <v>38</v>
      </c>
      <c r="I71">
        <v>4752.7506290107904</v>
      </c>
      <c r="J71">
        <v>38</v>
      </c>
      <c r="K71">
        <v>4748.0628538185701</v>
      </c>
      <c r="L71">
        <v>38</v>
      </c>
      <c r="M71">
        <v>4748.9309753905891</v>
      </c>
    </row>
    <row r="72" spans="2:13" x14ac:dyDescent="0.25">
      <c r="B72">
        <v>39</v>
      </c>
      <c r="C72">
        <v>4817.038210286275</v>
      </c>
      <c r="D72">
        <v>39</v>
      </c>
      <c r="E72">
        <v>4804.6729171435109</v>
      </c>
      <c r="F72">
        <v>39</v>
      </c>
      <c r="G72">
        <v>4808.6448119325551</v>
      </c>
      <c r="H72">
        <v>39</v>
      </c>
      <c r="I72">
        <v>4814.2695590990397</v>
      </c>
      <c r="J72">
        <v>39</v>
      </c>
      <c r="K72">
        <v>4814.4628222408728</v>
      </c>
      <c r="L72">
        <v>39</v>
      </c>
      <c r="M72">
        <v>4815.2942547663242</v>
      </c>
    </row>
    <row r="73" spans="2:13" x14ac:dyDescent="0.25">
      <c r="B73">
        <v>40</v>
      </c>
      <c r="C73">
        <v>4823.7304635775636</v>
      </c>
      <c r="D73">
        <v>40</v>
      </c>
      <c r="E73">
        <v>4812.5810610106564</v>
      </c>
      <c r="F73">
        <v>40</v>
      </c>
      <c r="G73">
        <v>4816.513518433746</v>
      </c>
      <c r="H73">
        <v>40</v>
      </c>
      <c r="I73">
        <v>4821.6080896128442</v>
      </c>
      <c r="J73">
        <v>40</v>
      </c>
      <c r="K73">
        <v>4821.2091850834586</v>
      </c>
      <c r="L73">
        <v>40</v>
      </c>
      <c r="M73">
        <v>4821.491872451531</v>
      </c>
    </row>
    <row r="74" spans="2:13" x14ac:dyDescent="0.25">
      <c r="B74">
        <v>41</v>
      </c>
      <c r="C74">
        <v>4818.8464236667423</v>
      </c>
      <c r="D74">
        <v>41</v>
      </c>
      <c r="E74">
        <v>4806.6310101472491</v>
      </c>
      <c r="F74">
        <v>41</v>
      </c>
      <c r="G74">
        <v>4811.2258157218794</v>
      </c>
      <c r="H74">
        <v>41</v>
      </c>
      <c r="I74">
        <v>4814.8270421657644</v>
      </c>
      <c r="J74">
        <v>41</v>
      </c>
      <c r="K74">
        <v>4814.5009488144578</v>
      </c>
      <c r="L74">
        <v>41</v>
      </c>
      <c r="M74">
        <v>4816.1815058535303</v>
      </c>
    </row>
    <row r="75" spans="2:13" x14ac:dyDescent="0.25">
      <c r="B75">
        <v>42</v>
      </c>
      <c r="C75">
        <v>4818.5830453192948</v>
      </c>
      <c r="D75">
        <v>42</v>
      </c>
      <c r="E75">
        <v>4807.0923268312945</v>
      </c>
      <c r="F75">
        <v>42</v>
      </c>
      <c r="G75">
        <v>4811.4531459016807</v>
      </c>
      <c r="H75">
        <v>42</v>
      </c>
      <c r="I75">
        <v>4815.3222601578464</v>
      </c>
      <c r="J75">
        <v>42</v>
      </c>
      <c r="K75">
        <v>4815.3532620397918</v>
      </c>
      <c r="L75">
        <v>42</v>
      </c>
      <c r="M75">
        <v>4816.0606980578659</v>
      </c>
    </row>
    <row r="76" spans="2:13" x14ac:dyDescent="0.25">
      <c r="B76">
        <v>43</v>
      </c>
      <c r="C76">
        <v>4723.7834267948429</v>
      </c>
      <c r="D76">
        <v>43</v>
      </c>
      <c r="E76">
        <v>4714.4552300297564</v>
      </c>
      <c r="F76">
        <v>43</v>
      </c>
      <c r="G76">
        <v>4712.6073325958141</v>
      </c>
      <c r="H76">
        <v>43</v>
      </c>
      <c r="I76">
        <v>4718.9102953892316</v>
      </c>
      <c r="J76">
        <v>43</v>
      </c>
      <c r="K76">
        <v>4708.1617678848452</v>
      </c>
      <c r="L76">
        <v>43</v>
      </c>
      <c r="M76">
        <v>4709.6070250841367</v>
      </c>
    </row>
    <row r="77" spans="2:13" x14ac:dyDescent="0.25">
      <c r="B77">
        <v>44</v>
      </c>
      <c r="C77">
        <v>4803.5817256258315</v>
      </c>
      <c r="D77">
        <v>44</v>
      </c>
      <c r="E77">
        <v>4790.1550081381447</v>
      </c>
      <c r="F77">
        <v>44</v>
      </c>
      <c r="G77">
        <v>4794.5130352313872</v>
      </c>
      <c r="H77">
        <v>44</v>
      </c>
      <c r="I77">
        <v>4799.4401263531781</v>
      </c>
      <c r="J77">
        <v>44</v>
      </c>
      <c r="K77">
        <v>4798.2022271814049</v>
      </c>
      <c r="L77">
        <v>44</v>
      </c>
      <c r="M77">
        <v>4799.9534926205679</v>
      </c>
    </row>
    <row r="78" spans="2:13" x14ac:dyDescent="0.25">
      <c r="B78">
        <v>45</v>
      </c>
      <c r="C78">
        <v>4880.9131814636785</v>
      </c>
      <c r="D78">
        <v>45</v>
      </c>
      <c r="E78">
        <v>4870.3219863431759</v>
      </c>
      <c r="F78">
        <v>45</v>
      </c>
      <c r="G78">
        <v>4877.5943283063334</v>
      </c>
      <c r="H78">
        <v>45</v>
      </c>
      <c r="I78">
        <v>4880.2690794995051</v>
      </c>
      <c r="J78">
        <v>45</v>
      </c>
      <c r="K78">
        <v>4882.367060434206</v>
      </c>
      <c r="L78">
        <v>45</v>
      </c>
      <c r="M78">
        <v>4884.7672872002231</v>
      </c>
    </row>
    <row r="79" spans="2:13" x14ac:dyDescent="0.25">
      <c r="B79">
        <v>46</v>
      </c>
      <c r="C79">
        <v>4731.6786727617982</v>
      </c>
      <c r="D79">
        <v>46</v>
      </c>
      <c r="E79">
        <v>4721.979538287429</v>
      </c>
      <c r="F79">
        <v>46</v>
      </c>
      <c r="G79">
        <v>4721.0351114332461</v>
      </c>
      <c r="H79">
        <v>46</v>
      </c>
      <c r="I79">
        <v>4727.1614129006548</v>
      </c>
      <c r="J79">
        <v>46</v>
      </c>
      <c r="K79">
        <v>4717.4417075693218</v>
      </c>
      <c r="L79">
        <v>46</v>
      </c>
      <c r="M79">
        <v>4717.8603907581191</v>
      </c>
    </row>
    <row r="80" spans="2:13" x14ac:dyDescent="0.25">
      <c r="B80">
        <v>47</v>
      </c>
      <c r="C80">
        <v>4866.6931970194046</v>
      </c>
      <c r="D80">
        <v>47</v>
      </c>
      <c r="E80">
        <v>4854.3808314895341</v>
      </c>
      <c r="F80">
        <v>47</v>
      </c>
      <c r="G80">
        <v>4860.7020038062783</v>
      </c>
      <c r="H80">
        <v>47</v>
      </c>
      <c r="I80">
        <v>4864.0820074938747</v>
      </c>
      <c r="J80">
        <v>47</v>
      </c>
      <c r="K80">
        <v>4867.2158986292307</v>
      </c>
      <c r="L80">
        <v>47</v>
      </c>
      <c r="M80">
        <v>4868.8506247721734</v>
      </c>
    </row>
    <row r="81" spans="2:13" x14ac:dyDescent="0.25">
      <c r="B81">
        <v>48</v>
      </c>
      <c r="C81">
        <v>4725.0219975755099</v>
      </c>
      <c r="D81">
        <v>48</v>
      </c>
      <c r="E81">
        <v>4714.288873417936</v>
      </c>
      <c r="F81">
        <v>48</v>
      </c>
      <c r="G81">
        <v>4712.082965845223</v>
      </c>
      <c r="H81">
        <v>48</v>
      </c>
      <c r="I81">
        <v>4721.0592429405842</v>
      </c>
      <c r="J81">
        <v>48</v>
      </c>
      <c r="K81">
        <v>4712.5134249722378</v>
      </c>
      <c r="L81">
        <v>48</v>
      </c>
      <c r="M81">
        <v>4709.4918980951652</v>
      </c>
    </row>
    <row r="82" spans="2:13" x14ac:dyDescent="0.25">
      <c r="B82">
        <v>49</v>
      </c>
      <c r="C82">
        <v>4791.1976378186382</v>
      </c>
      <c r="D82">
        <v>49</v>
      </c>
      <c r="E82">
        <v>4776.1581203428195</v>
      </c>
      <c r="F82">
        <v>49</v>
      </c>
      <c r="G82">
        <v>4779.6700971914915</v>
      </c>
      <c r="H82">
        <v>49</v>
      </c>
      <c r="I82">
        <v>4783.5190731415778</v>
      </c>
      <c r="J82">
        <v>49</v>
      </c>
      <c r="K82">
        <v>4784.405542203911</v>
      </c>
      <c r="L82">
        <v>49</v>
      </c>
      <c r="M82">
        <v>4784.540590057899</v>
      </c>
    </row>
    <row r="83" spans="2:13" x14ac:dyDescent="0.25">
      <c r="B83">
        <v>50</v>
      </c>
      <c r="C83">
        <v>4795.2617644939519</v>
      </c>
      <c r="D83">
        <v>50</v>
      </c>
      <c r="E83">
        <v>4783.6897762433982</v>
      </c>
      <c r="F83">
        <v>50</v>
      </c>
      <c r="G83">
        <v>4788.4760683434633</v>
      </c>
      <c r="H83">
        <v>50</v>
      </c>
      <c r="I83">
        <v>4790.949657095869</v>
      </c>
      <c r="J83">
        <v>50</v>
      </c>
      <c r="K83">
        <v>4791.2719329365991</v>
      </c>
      <c r="L83">
        <v>50</v>
      </c>
      <c r="M83">
        <v>4790.7859248238856</v>
      </c>
    </row>
    <row r="84" spans="2:13" x14ac:dyDescent="0.25">
      <c r="B84">
        <v>51</v>
      </c>
      <c r="C84">
        <v>4792.0525677542955</v>
      </c>
      <c r="D84">
        <v>51</v>
      </c>
      <c r="E84">
        <v>4779.2075144324917</v>
      </c>
      <c r="F84">
        <v>51</v>
      </c>
      <c r="G84">
        <v>4783.778334520146</v>
      </c>
      <c r="H84">
        <v>51</v>
      </c>
      <c r="I84">
        <v>4786.660525334215</v>
      </c>
      <c r="J84">
        <v>51</v>
      </c>
      <c r="K84">
        <v>4785.3704746403537</v>
      </c>
      <c r="L84">
        <v>51</v>
      </c>
      <c r="M84">
        <v>4785.287591660097</v>
      </c>
    </row>
    <row r="85" spans="2:13" x14ac:dyDescent="0.25">
      <c r="B85">
        <v>52</v>
      </c>
      <c r="C85">
        <v>4791.6910811017015</v>
      </c>
      <c r="D85">
        <v>52</v>
      </c>
      <c r="E85">
        <v>4780.2055790798822</v>
      </c>
      <c r="F85">
        <v>52</v>
      </c>
      <c r="G85">
        <v>4784.4513809414811</v>
      </c>
      <c r="H85">
        <v>52</v>
      </c>
      <c r="I85">
        <v>4787.6087033646145</v>
      </c>
      <c r="J85">
        <v>52</v>
      </c>
      <c r="K85">
        <v>4786.3907282368191</v>
      </c>
      <c r="L85">
        <v>52</v>
      </c>
      <c r="M85">
        <v>4786.4266339869282</v>
      </c>
    </row>
    <row r="86" spans="2:13" x14ac:dyDescent="0.25">
      <c r="B86">
        <v>53</v>
      </c>
      <c r="C86">
        <v>4689.3640662750186</v>
      </c>
      <c r="D86">
        <v>53</v>
      </c>
      <c r="E86">
        <v>4680.960598238431</v>
      </c>
      <c r="F86">
        <v>53</v>
      </c>
      <c r="G86">
        <v>4677.2972497732344</v>
      </c>
      <c r="H86">
        <v>53</v>
      </c>
      <c r="I86">
        <v>4684.5337495655422</v>
      </c>
      <c r="J86">
        <v>53</v>
      </c>
      <c r="K86">
        <v>4672.6752977628576</v>
      </c>
      <c r="L86">
        <v>53</v>
      </c>
      <c r="M86">
        <v>4667.2259615303101</v>
      </c>
    </row>
    <row r="87" spans="2:13" x14ac:dyDescent="0.25">
      <c r="B87">
        <v>54</v>
      </c>
      <c r="C87">
        <v>4775.7518007765148</v>
      </c>
      <c r="D87">
        <v>54</v>
      </c>
      <c r="E87">
        <v>4763.2165789272913</v>
      </c>
      <c r="F87">
        <v>54</v>
      </c>
      <c r="G87">
        <v>4766.6063884438345</v>
      </c>
      <c r="H87">
        <v>54</v>
      </c>
      <c r="I87">
        <v>4770.3174595000137</v>
      </c>
      <c r="J87">
        <v>54</v>
      </c>
      <c r="K87">
        <v>4770.2842255622518</v>
      </c>
      <c r="L87">
        <v>54</v>
      </c>
      <c r="M87">
        <v>4769.1898584725723</v>
      </c>
    </row>
    <row r="88" spans="2:13" x14ac:dyDescent="0.25">
      <c r="B88">
        <v>55</v>
      </c>
      <c r="C88">
        <v>4856.8430618075154</v>
      </c>
      <c r="D88">
        <v>55</v>
      </c>
      <c r="E88">
        <v>4844.8021248187979</v>
      </c>
      <c r="F88">
        <v>55</v>
      </c>
      <c r="G88">
        <v>4852.6694755982808</v>
      </c>
      <c r="H88">
        <v>55</v>
      </c>
      <c r="I88">
        <v>4854.5488011071275</v>
      </c>
      <c r="J88">
        <v>55</v>
      </c>
      <c r="K88">
        <v>4856.6861806244342</v>
      </c>
      <c r="L88">
        <v>55</v>
      </c>
      <c r="M88">
        <v>4858.3955009197807</v>
      </c>
    </row>
    <row r="89" spans="2:13" x14ac:dyDescent="0.25">
      <c r="B89">
        <v>56</v>
      </c>
      <c r="C89">
        <v>4699.5738960521521</v>
      </c>
      <c r="D89">
        <v>56</v>
      </c>
      <c r="E89">
        <v>4689.3863584344235</v>
      </c>
      <c r="F89">
        <v>56</v>
      </c>
      <c r="G89">
        <v>4693.7470340276195</v>
      </c>
      <c r="H89">
        <v>56</v>
      </c>
      <c r="I89">
        <v>4703.242013385553</v>
      </c>
      <c r="J89">
        <v>56</v>
      </c>
      <c r="K89">
        <v>4684.5287337978862</v>
      </c>
      <c r="L89">
        <v>56</v>
      </c>
      <c r="M89">
        <v>4681.5426214151885</v>
      </c>
    </row>
    <row r="90" spans="2:13" x14ac:dyDescent="0.25">
      <c r="B90">
        <v>57</v>
      </c>
      <c r="C90">
        <v>4841.133805939151</v>
      </c>
      <c r="D90">
        <v>57</v>
      </c>
      <c r="E90">
        <v>4828.1187537617734</v>
      </c>
      <c r="F90">
        <v>57</v>
      </c>
      <c r="G90">
        <v>4835.1005463577576</v>
      </c>
      <c r="H90">
        <v>57</v>
      </c>
      <c r="I90">
        <v>4839.1132959063425</v>
      </c>
      <c r="J90">
        <v>57</v>
      </c>
      <c r="K90">
        <v>4841.2350065274704</v>
      </c>
      <c r="L90">
        <v>57</v>
      </c>
      <c r="M90">
        <v>4842.1859511033126</v>
      </c>
    </row>
    <row r="91" spans="2:13" x14ac:dyDescent="0.25">
      <c r="B91">
        <v>58</v>
      </c>
      <c r="C91">
        <v>4689.7426002221036</v>
      </c>
      <c r="D91">
        <v>58</v>
      </c>
      <c r="E91">
        <v>4679.3424425455441</v>
      </c>
      <c r="F91">
        <v>58</v>
      </c>
      <c r="G91">
        <v>4678.7077795579971</v>
      </c>
      <c r="H91">
        <v>58</v>
      </c>
      <c r="I91">
        <v>4682.5082487729196</v>
      </c>
      <c r="J91">
        <v>58</v>
      </c>
      <c r="K91">
        <v>4673.198023108941</v>
      </c>
      <c r="L91">
        <v>58</v>
      </c>
      <c r="M91">
        <v>4668.7461555742066</v>
      </c>
    </row>
    <row r="92" spans="2:13" x14ac:dyDescent="0.25">
      <c r="B92">
        <v>59</v>
      </c>
      <c r="C92">
        <v>4781.4624195722381</v>
      </c>
      <c r="D92">
        <v>59</v>
      </c>
      <c r="E92">
        <v>4771.901022142536</v>
      </c>
      <c r="F92">
        <v>59</v>
      </c>
      <c r="G92">
        <v>4778.9163114705452</v>
      </c>
      <c r="H92">
        <v>59</v>
      </c>
      <c r="I92">
        <v>4783.7050257284063</v>
      </c>
      <c r="J92">
        <v>59</v>
      </c>
      <c r="K92">
        <v>4778.8098638980018</v>
      </c>
      <c r="L92">
        <v>59</v>
      </c>
      <c r="M92">
        <v>4778.6982212642943</v>
      </c>
    </row>
    <row r="93" spans="2:13" x14ac:dyDescent="0.25">
      <c r="B93">
        <v>60</v>
      </c>
      <c r="C93">
        <v>4805.4623879945411</v>
      </c>
      <c r="D93">
        <v>60</v>
      </c>
      <c r="E93">
        <v>4754.7714690199464</v>
      </c>
      <c r="F93">
        <v>60</v>
      </c>
      <c r="G93">
        <v>4763.1978522926674</v>
      </c>
      <c r="H93">
        <v>60</v>
      </c>
      <c r="I93">
        <v>4767.7559010028572</v>
      </c>
      <c r="J93">
        <v>60</v>
      </c>
      <c r="K93">
        <v>4768.4915630324758</v>
      </c>
      <c r="L93">
        <v>60</v>
      </c>
      <c r="M93">
        <v>4765.3045546061048</v>
      </c>
    </row>
    <row r="94" spans="2:13" x14ac:dyDescent="0.25">
      <c r="B94">
        <v>61</v>
      </c>
      <c r="C94">
        <v>4760.0914579147693</v>
      </c>
      <c r="D94">
        <v>61</v>
      </c>
      <c r="E94">
        <v>4747.7908134330255</v>
      </c>
      <c r="F94">
        <v>61</v>
      </c>
      <c r="G94">
        <v>4753.55264298975</v>
      </c>
      <c r="H94">
        <v>61</v>
      </c>
      <c r="I94">
        <v>4758.001183209989</v>
      </c>
      <c r="J94">
        <v>61</v>
      </c>
      <c r="K94">
        <v>4756.3972959741604</v>
      </c>
      <c r="L94">
        <v>61</v>
      </c>
      <c r="M94">
        <v>4753.4633469816808</v>
      </c>
    </row>
    <row r="95" spans="2:13" x14ac:dyDescent="0.25">
      <c r="B95">
        <v>62</v>
      </c>
      <c r="C95">
        <v>4764.0916713291454</v>
      </c>
      <c r="D95">
        <v>62</v>
      </c>
      <c r="E95">
        <v>4749.6042600222099</v>
      </c>
      <c r="F95">
        <v>62</v>
      </c>
      <c r="G95">
        <v>4754.4462884548548</v>
      </c>
      <c r="H95">
        <v>62</v>
      </c>
      <c r="I95">
        <v>4759.2789556894959</v>
      </c>
      <c r="J95">
        <v>62</v>
      </c>
      <c r="K95">
        <v>4754.0243678102452</v>
      </c>
      <c r="L95">
        <v>62</v>
      </c>
      <c r="M95">
        <v>4753.786609572493</v>
      </c>
    </row>
    <row r="96" spans="2:13" x14ac:dyDescent="0.25">
      <c r="B96">
        <v>63</v>
      </c>
      <c r="C96">
        <v>4650.0102932699237</v>
      </c>
      <c r="D96">
        <v>63</v>
      </c>
      <c r="E96">
        <v>4640.1896952858096</v>
      </c>
      <c r="F96">
        <v>63</v>
      </c>
      <c r="G96">
        <v>4637.5754096623514</v>
      </c>
      <c r="H96">
        <v>63</v>
      </c>
      <c r="I96">
        <v>4641.415071463086</v>
      </c>
      <c r="J96">
        <v>63</v>
      </c>
      <c r="K96">
        <v>4625.2106955146965</v>
      </c>
      <c r="L96">
        <v>63</v>
      </c>
      <c r="M96">
        <v>4621.9497293642926</v>
      </c>
    </row>
    <row r="97" spans="2:13" x14ac:dyDescent="0.25">
      <c r="B97">
        <v>64</v>
      </c>
      <c r="C97">
        <v>4746.5739166094454</v>
      </c>
      <c r="D97">
        <v>64</v>
      </c>
      <c r="E97">
        <v>4732.5045963564844</v>
      </c>
      <c r="F97">
        <v>64</v>
      </c>
      <c r="G97">
        <v>4736.6842331917633</v>
      </c>
      <c r="H97">
        <v>64</v>
      </c>
      <c r="I97">
        <v>4741.6975519866392</v>
      </c>
      <c r="J97">
        <v>64</v>
      </c>
      <c r="K97">
        <v>4737.3177415799864</v>
      </c>
      <c r="L97">
        <v>64</v>
      </c>
      <c r="M97">
        <v>4733.7263718284548</v>
      </c>
    </row>
    <row r="98" spans="2:13" x14ac:dyDescent="0.25">
      <c r="B98">
        <v>65</v>
      </c>
      <c r="C98">
        <v>4831.6068519366236</v>
      </c>
      <c r="D98">
        <v>65</v>
      </c>
      <c r="E98">
        <v>4819.7739049532483</v>
      </c>
      <c r="F98">
        <v>65</v>
      </c>
      <c r="G98">
        <v>4826.5885570051632</v>
      </c>
      <c r="H98">
        <v>65</v>
      </c>
      <c r="I98">
        <v>4830.1177956223555</v>
      </c>
      <c r="J98">
        <v>65</v>
      </c>
      <c r="K98">
        <v>4830.4452025211303</v>
      </c>
      <c r="L98">
        <v>65</v>
      </c>
      <c r="M98">
        <v>4830.0692123801527</v>
      </c>
    </row>
    <row r="99" spans="2:13" x14ac:dyDescent="0.25">
      <c r="B99">
        <v>66</v>
      </c>
      <c r="C99">
        <v>4662.2059075727138</v>
      </c>
      <c r="D99">
        <v>66</v>
      </c>
      <c r="E99">
        <v>4652.44199049702</v>
      </c>
      <c r="F99">
        <v>66</v>
      </c>
      <c r="G99">
        <v>4654.0293187270581</v>
      </c>
      <c r="H99">
        <v>66</v>
      </c>
      <c r="I99">
        <v>4655.9693787458773</v>
      </c>
      <c r="J99">
        <v>66</v>
      </c>
      <c r="K99">
        <v>4638.7893814162071</v>
      </c>
      <c r="L99">
        <v>66</v>
      </c>
      <c r="M99">
        <v>4633.0298688995699</v>
      </c>
    </row>
    <row r="100" spans="2:13" x14ac:dyDescent="0.25">
      <c r="B100">
        <v>67</v>
      </c>
      <c r="C100">
        <v>4814.8617007027633</v>
      </c>
      <c r="D100">
        <v>67</v>
      </c>
      <c r="E100">
        <v>4801.8283834761742</v>
      </c>
      <c r="F100">
        <v>67</v>
      </c>
      <c r="G100">
        <v>4809.3482602595732</v>
      </c>
      <c r="H100">
        <v>67</v>
      </c>
      <c r="I100">
        <v>4813.2053145901691</v>
      </c>
      <c r="J100">
        <v>67</v>
      </c>
      <c r="K100">
        <v>4814.8701732746713</v>
      </c>
      <c r="L100">
        <v>67</v>
      </c>
      <c r="M100">
        <v>4814.9313462695927</v>
      </c>
    </row>
    <row r="101" spans="2:13" x14ac:dyDescent="0.25">
      <c r="B101">
        <v>68</v>
      </c>
      <c r="C101">
        <v>4649.868037859329</v>
      </c>
      <c r="D101">
        <v>68</v>
      </c>
      <c r="E101">
        <v>4640.6838854132229</v>
      </c>
      <c r="F101">
        <v>68</v>
      </c>
      <c r="G101">
        <v>4642.0819814263796</v>
      </c>
      <c r="H101">
        <v>68</v>
      </c>
      <c r="I101">
        <v>4646.9319275959406</v>
      </c>
      <c r="J101">
        <v>68</v>
      </c>
      <c r="K101">
        <v>4634.9513661063211</v>
      </c>
      <c r="L101">
        <v>68</v>
      </c>
      <c r="M101">
        <v>4625.9865716368704</v>
      </c>
    </row>
    <row r="102" spans="2:13" x14ac:dyDescent="0.25">
      <c r="B102">
        <v>69</v>
      </c>
      <c r="C102">
        <v>4729.5863558912524</v>
      </c>
      <c r="D102">
        <v>69</v>
      </c>
      <c r="E102">
        <v>4717.0559270703525</v>
      </c>
      <c r="F102">
        <v>69</v>
      </c>
      <c r="G102">
        <v>4722.2679821215124</v>
      </c>
      <c r="H102">
        <v>69</v>
      </c>
      <c r="I102">
        <v>4727.1781126285359</v>
      </c>
      <c r="J102">
        <v>69</v>
      </c>
      <c r="K102">
        <v>4717.1030259488152</v>
      </c>
      <c r="L102">
        <v>69</v>
      </c>
      <c r="M102">
        <v>4716.560927790918</v>
      </c>
    </row>
    <row r="103" spans="2:13" x14ac:dyDescent="0.25">
      <c r="B103">
        <v>70</v>
      </c>
      <c r="C103">
        <v>4735.5781346693457</v>
      </c>
      <c r="D103">
        <v>70</v>
      </c>
      <c r="E103">
        <v>4724.0857266685325</v>
      </c>
      <c r="F103">
        <v>70</v>
      </c>
      <c r="G103">
        <v>4729.4943052058688</v>
      </c>
      <c r="H103">
        <v>70</v>
      </c>
      <c r="I103">
        <v>4732.8335558607359</v>
      </c>
      <c r="J103">
        <v>70</v>
      </c>
      <c r="K103">
        <v>4723.4409174910779</v>
      </c>
      <c r="L103">
        <v>70</v>
      </c>
      <c r="M103">
        <v>4722.317477937997</v>
      </c>
    </row>
    <row r="104" spans="2:13" x14ac:dyDescent="0.25">
      <c r="B104">
        <v>71</v>
      </c>
      <c r="C104">
        <v>4731.839876910557</v>
      </c>
      <c r="D104">
        <v>71</v>
      </c>
      <c r="E104">
        <v>4719.5034131464954</v>
      </c>
      <c r="F104">
        <v>71</v>
      </c>
      <c r="G104">
        <v>4723.8191220976069</v>
      </c>
      <c r="H104">
        <v>71</v>
      </c>
      <c r="I104">
        <v>4727.2435751040584</v>
      </c>
      <c r="J104">
        <v>71</v>
      </c>
      <c r="K104">
        <v>4718.6599988979588</v>
      </c>
      <c r="L104">
        <v>71</v>
      </c>
      <c r="M104">
        <v>4717.5028470791694</v>
      </c>
    </row>
    <row r="105" spans="2:13" x14ac:dyDescent="0.25">
      <c r="B105">
        <v>72</v>
      </c>
      <c r="C105">
        <v>4732.2571732238084</v>
      </c>
      <c r="D105">
        <v>72</v>
      </c>
      <c r="E105">
        <v>4720.965727812958</v>
      </c>
      <c r="F105">
        <v>72</v>
      </c>
      <c r="G105">
        <v>4725.2046461602367</v>
      </c>
      <c r="H105">
        <v>72</v>
      </c>
      <c r="I105">
        <v>4726.8409605130419</v>
      </c>
      <c r="J105">
        <v>72</v>
      </c>
      <c r="K105">
        <v>4720.2512289870556</v>
      </c>
      <c r="L105">
        <v>72</v>
      </c>
      <c r="M105">
        <v>4718.2753566796373</v>
      </c>
    </row>
    <row r="106" spans="2:13" x14ac:dyDescent="0.25">
      <c r="B106">
        <v>73</v>
      </c>
      <c r="C106">
        <v>4609.4932129142189</v>
      </c>
      <c r="D106">
        <v>73</v>
      </c>
      <c r="E106">
        <v>4601.9545796139464</v>
      </c>
      <c r="F106">
        <v>73</v>
      </c>
      <c r="G106">
        <v>4598.2829050210657</v>
      </c>
      <c r="H106">
        <v>73</v>
      </c>
      <c r="I106">
        <v>4600.8813452099384</v>
      </c>
      <c r="J106">
        <v>73</v>
      </c>
      <c r="K106">
        <v>4573.5676097589921</v>
      </c>
      <c r="L106">
        <v>73</v>
      </c>
      <c r="M106">
        <v>4571.8444796249669</v>
      </c>
    </row>
    <row r="107" spans="2:13" x14ac:dyDescent="0.25">
      <c r="B107">
        <v>74</v>
      </c>
      <c r="C107">
        <v>4716.5107018726212</v>
      </c>
      <c r="D107">
        <v>74</v>
      </c>
      <c r="E107">
        <v>4703.5327464967831</v>
      </c>
      <c r="F107">
        <v>74</v>
      </c>
      <c r="G107">
        <v>4707.1127635360244</v>
      </c>
      <c r="H107">
        <v>74</v>
      </c>
      <c r="I107">
        <v>4711.6849452794522</v>
      </c>
      <c r="J107">
        <v>74</v>
      </c>
      <c r="K107">
        <v>4703.1937611793519</v>
      </c>
      <c r="L107">
        <v>74</v>
      </c>
      <c r="M107">
        <v>4700.6725738155192</v>
      </c>
    </row>
    <row r="108" spans="2:13" x14ac:dyDescent="0.25">
      <c r="B108">
        <v>75</v>
      </c>
      <c r="C108">
        <v>4805.4413504658241</v>
      </c>
      <c r="D108">
        <v>75</v>
      </c>
      <c r="E108">
        <v>4794.3219397183875</v>
      </c>
      <c r="F108">
        <v>75</v>
      </c>
      <c r="G108">
        <v>4802.3960002288841</v>
      </c>
      <c r="H108">
        <v>75</v>
      </c>
      <c r="I108">
        <v>4805.0830476505344</v>
      </c>
      <c r="J108">
        <v>75</v>
      </c>
      <c r="K108">
        <v>4804.300771216399</v>
      </c>
      <c r="L108">
        <v>75</v>
      </c>
      <c r="M108">
        <v>4803.6224330934274</v>
      </c>
    </row>
    <row r="109" spans="2:13" x14ac:dyDescent="0.25">
      <c r="B109">
        <v>76</v>
      </c>
      <c r="C109">
        <v>4623.3626842738822</v>
      </c>
      <c r="D109">
        <v>76</v>
      </c>
      <c r="E109">
        <v>4614.2214950874431</v>
      </c>
      <c r="F109">
        <v>76</v>
      </c>
      <c r="G109">
        <v>4612.4714505819629</v>
      </c>
      <c r="H109">
        <v>76</v>
      </c>
      <c r="I109">
        <v>4615.6566139382694</v>
      </c>
      <c r="J109">
        <v>76</v>
      </c>
      <c r="K109">
        <v>4589.4269760433363</v>
      </c>
      <c r="L109">
        <v>76</v>
      </c>
      <c r="M109">
        <v>4586.2122481201732</v>
      </c>
    </row>
    <row r="110" spans="2:13" x14ac:dyDescent="0.25">
      <c r="B110">
        <v>77</v>
      </c>
      <c r="C110">
        <v>4791.2464705034645</v>
      </c>
      <c r="D110">
        <v>77</v>
      </c>
      <c r="E110">
        <v>4778.8474318218432</v>
      </c>
      <c r="F110">
        <v>77</v>
      </c>
      <c r="G110">
        <v>4785.8410387155291</v>
      </c>
      <c r="H110">
        <v>77</v>
      </c>
      <c r="I110">
        <v>4788.3746005103303</v>
      </c>
      <c r="J110">
        <v>77</v>
      </c>
      <c r="K110">
        <v>4788.0827681137307</v>
      </c>
      <c r="L110">
        <v>77</v>
      </c>
      <c r="M110">
        <v>4787.2049725337611</v>
      </c>
    </row>
    <row r="111" spans="2:13" x14ac:dyDescent="0.25">
      <c r="B111">
        <v>78</v>
      </c>
      <c r="C111">
        <v>4614.3800494646621</v>
      </c>
      <c r="D111">
        <v>78</v>
      </c>
      <c r="E111">
        <v>4601.952846443377</v>
      </c>
      <c r="F111">
        <v>78</v>
      </c>
      <c r="G111">
        <v>4599.6225543178789</v>
      </c>
      <c r="H111">
        <v>78</v>
      </c>
      <c r="I111">
        <v>4604.3084657901209</v>
      </c>
      <c r="J111">
        <v>78</v>
      </c>
      <c r="K111">
        <v>4571.8476208641696</v>
      </c>
      <c r="L111">
        <v>78</v>
      </c>
      <c r="M111">
        <v>4569.1430476081478</v>
      </c>
    </row>
    <row r="112" spans="2:13" x14ac:dyDescent="0.25">
      <c r="B112">
        <v>79</v>
      </c>
      <c r="C112">
        <v>4696.675183108262</v>
      </c>
      <c r="D112">
        <v>79</v>
      </c>
      <c r="E112">
        <v>4681.8090986156685</v>
      </c>
      <c r="F112">
        <v>79</v>
      </c>
      <c r="G112">
        <v>4689.222872214169</v>
      </c>
      <c r="H112">
        <v>79</v>
      </c>
      <c r="I112">
        <v>4692.6709589023676</v>
      </c>
      <c r="J112">
        <v>79</v>
      </c>
      <c r="K112">
        <v>4682.6006476607072</v>
      </c>
      <c r="L112">
        <v>79</v>
      </c>
      <c r="M112">
        <v>4679.8417751752668</v>
      </c>
    </row>
    <row r="113" spans="2:13" x14ac:dyDescent="0.25">
      <c r="B113">
        <v>80</v>
      </c>
      <c r="C113">
        <v>4700.3812155082533</v>
      </c>
      <c r="D113">
        <v>80</v>
      </c>
      <c r="E113">
        <v>4689.0833636394464</v>
      </c>
      <c r="F113">
        <v>80</v>
      </c>
      <c r="G113">
        <v>4694.7693066893853</v>
      </c>
      <c r="H113">
        <v>80</v>
      </c>
      <c r="I113">
        <v>4699.8172770275432</v>
      </c>
      <c r="J113">
        <v>80</v>
      </c>
      <c r="K113">
        <v>4689.3372139993044</v>
      </c>
      <c r="L113">
        <v>80</v>
      </c>
      <c r="M113">
        <v>4690.857277917652</v>
      </c>
    </row>
    <row r="114" spans="2:13" x14ac:dyDescent="0.25">
      <c r="B114">
        <v>81</v>
      </c>
      <c r="C114">
        <v>4696.369868306163</v>
      </c>
      <c r="D114">
        <v>81</v>
      </c>
      <c r="E114">
        <v>4684.7319064028552</v>
      </c>
      <c r="F114">
        <v>81</v>
      </c>
      <c r="G114">
        <v>4692.7351292354379</v>
      </c>
      <c r="H114">
        <v>81</v>
      </c>
      <c r="I114">
        <v>4697.1348032857759</v>
      </c>
      <c r="J114">
        <v>81</v>
      </c>
      <c r="K114">
        <v>4686.8453248052356</v>
      </c>
      <c r="L114">
        <v>81</v>
      </c>
      <c r="M114">
        <v>4685.8486540271097</v>
      </c>
    </row>
    <row r="115" spans="2:13" x14ac:dyDescent="0.25">
      <c r="B115">
        <v>82</v>
      </c>
      <c r="C115">
        <v>4697.5354708679843</v>
      </c>
      <c r="D115">
        <v>82</v>
      </c>
      <c r="E115">
        <v>4685.5239055890415</v>
      </c>
      <c r="F115">
        <v>82</v>
      </c>
      <c r="G115">
        <v>4692.4173772708391</v>
      </c>
      <c r="H115">
        <v>82</v>
      </c>
      <c r="I115">
        <v>4696.6461723167431</v>
      </c>
      <c r="J115">
        <v>82</v>
      </c>
      <c r="K115">
        <v>4684.6695646092412</v>
      </c>
      <c r="L115">
        <v>82</v>
      </c>
      <c r="M115">
        <v>4685.4030537117569</v>
      </c>
    </row>
    <row r="116" spans="2:13" x14ac:dyDescent="0.25">
      <c r="B116">
        <v>83</v>
      </c>
      <c r="C116">
        <v>4550.9078632706869</v>
      </c>
      <c r="D116">
        <v>83</v>
      </c>
      <c r="E116">
        <v>4543.9867971313042</v>
      </c>
      <c r="F116">
        <v>83</v>
      </c>
      <c r="G116">
        <v>4547.4960771597871</v>
      </c>
      <c r="H116">
        <v>83</v>
      </c>
      <c r="I116">
        <v>4556.4621283792376</v>
      </c>
      <c r="J116">
        <v>83</v>
      </c>
      <c r="K116">
        <v>4524.9719721438078</v>
      </c>
      <c r="L116">
        <v>83</v>
      </c>
      <c r="M116">
        <v>4527.6480413349946</v>
      </c>
    </row>
    <row r="117" spans="2:13" x14ac:dyDescent="0.25">
      <c r="B117">
        <v>84</v>
      </c>
      <c r="C117">
        <v>4684.0116451768772</v>
      </c>
      <c r="D117">
        <v>84</v>
      </c>
      <c r="E117">
        <v>4670.1467419868941</v>
      </c>
      <c r="F117">
        <v>84</v>
      </c>
      <c r="G117">
        <v>4677.0673283148099</v>
      </c>
      <c r="H117">
        <v>84</v>
      </c>
      <c r="I117">
        <v>4681.962189839187</v>
      </c>
      <c r="J117">
        <v>84</v>
      </c>
      <c r="K117">
        <v>4670.0732176614702</v>
      </c>
      <c r="L117">
        <v>84</v>
      </c>
      <c r="M117">
        <v>4669.2211678661961</v>
      </c>
    </row>
    <row r="118" spans="2:13" x14ac:dyDescent="0.25">
      <c r="B118">
        <v>85</v>
      </c>
      <c r="C118">
        <v>4779.5024257606201</v>
      </c>
      <c r="D118">
        <v>85</v>
      </c>
      <c r="E118">
        <v>4768.7576576977535</v>
      </c>
      <c r="F118">
        <v>85</v>
      </c>
      <c r="G118">
        <v>4777.4598819121256</v>
      </c>
      <c r="H118">
        <v>85</v>
      </c>
      <c r="I118">
        <v>4779.4557346371321</v>
      </c>
      <c r="J118">
        <v>85</v>
      </c>
      <c r="K118">
        <v>4778.5085153819418</v>
      </c>
      <c r="L118">
        <v>85</v>
      </c>
      <c r="M118">
        <v>4776.0837052719926</v>
      </c>
    </row>
    <row r="119" spans="2:13" x14ac:dyDescent="0.25">
      <c r="B119">
        <v>86</v>
      </c>
      <c r="C119">
        <v>4583.6348791570235</v>
      </c>
      <c r="D119">
        <v>86</v>
      </c>
      <c r="E119">
        <v>4572.9270082568255</v>
      </c>
      <c r="F119">
        <v>86</v>
      </c>
      <c r="G119">
        <v>4571.0134448937379</v>
      </c>
      <c r="H119">
        <v>86</v>
      </c>
      <c r="I119">
        <v>4575.1761965616333</v>
      </c>
      <c r="J119">
        <v>86</v>
      </c>
      <c r="K119">
        <v>4544.0851207582027</v>
      </c>
      <c r="L119">
        <v>86</v>
      </c>
      <c r="M119">
        <v>4531.6923834168338</v>
      </c>
    </row>
    <row r="120" spans="2:13" x14ac:dyDescent="0.25">
      <c r="B120">
        <v>87</v>
      </c>
      <c r="C120">
        <v>4766.8061125098548</v>
      </c>
      <c r="D120">
        <v>87</v>
      </c>
      <c r="E120">
        <v>4753.8101260564745</v>
      </c>
      <c r="F120">
        <v>87</v>
      </c>
      <c r="G120">
        <v>4760.8141148071854</v>
      </c>
      <c r="H120">
        <v>87</v>
      </c>
      <c r="I120">
        <v>4763.6744135873105</v>
      </c>
      <c r="J120">
        <v>87</v>
      </c>
      <c r="K120">
        <v>4762.4535002500788</v>
      </c>
      <c r="L120">
        <v>87</v>
      </c>
      <c r="M120">
        <v>4759.3263555097783</v>
      </c>
    </row>
    <row r="121" spans="2:13" x14ac:dyDescent="0.25">
      <c r="B121">
        <v>88</v>
      </c>
      <c r="C121">
        <v>4579.0068618973737</v>
      </c>
      <c r="D121">
        <v>88</v>
      </c>
      <c r="E121">
        <v>4570.7229251968829</v>
      </c>
      <c r="F121">
        <v>88</v>
      </c>
      <c r="G121">
        <v>4569.0002748743254</v>
      </c>
      <c r="H121">
        <v>88</v>
      </c>
      <c r="I121">
        <v>4569.0408642964321</v>
      </c>
      <c r="J121">
        <v>88</v>
      </c>
      <c r="K121">
        <v>4538.0195703313748</v>
      </c>
      <c r="L121">
        <v>88</v>
      </c>
      <c r="M121">
        <v>4522.9598501224955</v>
      </c>
    </row>
    <row r="122" spans="2:13" x14ac:dyDescent="0.25">
      <c r="B122">
        <v>89</v>
      </c>
      <c r="C122">
        <v>4672.3368236226625</v>
      </c>
      <c r="D122">
        <v>89</v>
      </c>
      <c r="E122">
        <v>4660.7707556606738</v>
      </c>
      <c r="F122">
        <v>89</v>
      </c>
      <c r="G122">
        <v>4665.6621646194153</v>
      </c>
      <c r="H122">
        <v>89</v>
      </c>
      <c r="I122">
        <v>4667.4123598077358</v>
      </c>
      <c r="J122">
        <v>89</v>
      </c>
      <c r="K122">
        <v>4651.9488570568737</v>
      </c>
      <c r="L122">
        <v>89</v>
      </c>
      <c r="M122">
        <v>4646.681129464323</v>
      </c>
    </row>
    <row r="123" spans="2:13" x14ac:dyDescent="0.25">
      <c r="B123">
        <v>90</v>
      </c>
      <c r="C123">
        <v>4677.8876692267922</v>
      </c>
      <c r="D123">
        <v>90</v>
      </c>
      <c r="E123">
        <v>4667.0982761543873</v>
      </c>
      <c r="F123">
        <v>90</v>
      </c>
      <c r="G123">
        <v>4671.353290226597</v>
      </c>
      <c r="H123">
        <v>90</v>
      </c>
      <c r="I123">
        <v>4673.54717708095</v>
      </c>
      <c r="J123">
        <v>90</v>
      </c>
      <c r="K123">
        <v>4657.9647567457587</v>
      </c>
      <c r="L123">
        <v>90</v>
      </c>
      <c r="M123">
        <v>4649.8582104134348</v>
      </c>
    </row>
    <row r="124" spans="2:13" x14ac:dyDescent="0.25">
      <c r="B124">
        <v>91</v>
      </c>
      <c r="C124">
        <v>4673.8940017208788</v>
      </c>
      <c r="D124">
        <v>91</v>
      </c>
      <c r="E124">
        <v>4664.0711006841129</v>
      </c>
      <c r="F124">
        <v>91</v>
      </c>
      <c r="G124">
        <v>4667.2386606393538</v>
      </c>
      <c r="H124">
        <v>91</v>
      </c>
      <c r="I124">
        <v>4669.1564903825783</v>
      </c>
      <c r="J124">
        <v>91</v>
      </c>
      <c r="K124">
        <v>4652.7074118579549</v>
      </c>
      <c r="L124">
        <v>91</v>
      </c>
      <c r="M124">
        <v>4646.0527879504589</v>
      </c>
    </row>
    <row r="125" spans="2:13" x14ac:dyDescent="0.25">
      <c r="B125">
        <v>92</v>
      </c>
      <c r="C125">
        <v>4673.0228082110489</v>
      </c>
      <c r="D125">
        <v>92</v>
      </c>
      <c r="E125">
        <v>4663.7512349211192</v>
      </c>
      <c r="F125">
        <v>92</v>
      </c>
      <c r="G125">
        <v>4668.7779269771036</v>
      </c>
      <c r="H125">
        <v>92</v>
      </c>
      <c r="I125">
        <v>4668.7790054932466</v>
      </c>
      <c r="J125">
        <v>92</v>
      </c>
      <c r="K125">
        <v>4653.4596191178589</v>
      </c>
      <c r="L125">
        <v>92</v>
      </c>
      <c r="M125">
        <v>4645.816559641582</v>
      </c>
    </row>
    <row r="126" spans="2:13" x14ac:dyDescent="0.25">
      <c r="B126">
        <v>93</v>
      </c>
      <c r="C126">
        <v>4530.118478887448</v>
      </c>
      <c r="D126">
        <v>93</v>
      </c>
      <c r="E126">
        <v>4524.8493926061556</v>
      </c>
      <c r="F126">
        <v>93</v>
      </c>
      <c r="G126">
        <v>4520.8415520120716</v>
      </c>
      <c r="H126">
        <v>93</v>
      </c>
      <c r="I126">
        <v>4520.3584267948427</v>
      </c>
      <c r="J126">
        <v>93</v>
      </c>
      <c r="K126">
        <v>4474.6263423700648</v>
      </c>
      <c r="L126">
        <v>93</v>
      </c>
      <c r="M126">
        <v>4458.5209326229406</v>
      </c>
    </row>
    <row r="127" spans="2:13" x14ac:dyDescent="0.25">
      <c r="B127">
        <v>94</v>
      </c>
      <c r="C127">
        <v>4655.9807713011714</v>
      </c>
      <c r="D127">
        <v>94</v>
      </c>
      <c r="E127">
        <v>4643.3684434949946</v>
      </c>
      <c r="F127">
        <v>94</v>
      </c>
      <c r="G127">
        <v>4646.4511469698118</v>
      </c>
      <c r="H127">
        <v>94</v>
      </c>
      <c r="I127">
        <v>4649.282979196867</v>
      </c>
      <c r="J127">
        <v>94</v>
      </c>
      <c r="K127">
        <v>4634.8636797131312</v>
      </c>
      <c r="L127">
        <v>94</v>
      </c>
      <c r="M127">
        <v>4627.2245695684242</v>
      </c>
    </row>
    <row r="128" spans="2:13" x14ac:dyDescent="0.25">
      <c r="B128">
        <v>95</v>
      </c>
      <c r="C128">
        <v>4756.5662099556639</v>
      </c>
      <c r="D128">
        <v>95</v>
      </c>
      <c r="E128">
        <v>4745.1027324245752</v>
      </c>
      <c r="F128">
        <v>95</v>
      </c>
      <c r="G128">
        <v>4752.3421577104691</v>
      </c>
      <c r="H128">
        <v>95</v>
      </c>
      <c r="I128">
        <v>4753.2227223790514</v>
      </c>
      <c r="J128">
        <v>95</v>
      </c>
      <c r="K128">
        <v>4751.4344889923113</v>
      </c>
      <c r="L128">
        <v>95</v>
      </c>
      <c r="M128">
        <v>4746.9815442130166</v>
      </c>
    </row>
    <row r="129" spans="2:13" x14ac:dyDescent="0.25">
      <c r="B129">
        <v>96</v>
      </c>
      <c r="C129">
        <v>4543.0192077176744</v>
      </c>
      <c r="D129">
        <v>96</v>
      </c>
      <c r="E129">
        <v>4538.2430196332753</v>
      </c>
      <c r="F129">
        <v>96</v>
      </c>
      <c r="G129">
        <v>4532.9276245517658</v>
      </c>
      <c r="H129">
        <v>96</v>
      </c>
      <c r="I129">
        <v>4535.296900935039</v>
      </c>
      <c r="J129">
        <v>96</v>
      </c>
      <c r="K129">
        <v>4500.1165303951238</v>
      </c>
      <c r="L129">
        <v>96</v>
      </c>
      <c r="M129">
        <v>4488.6511459101575</v>
      </c>
    </row>
    <row r="130" spans="2:13" x14ac:dyDescent="0.25">
      <c r="B130">
        <v>97</v>
      </c>
      <c r="C130">
        <v>4741.2890821698329</v>
      </c>
      <c r="D130">
        <v>97</v>
      </c>
      <c r="E130">
        <v>4728.4744195213752</v>
      </c>
      <c r="F130">
        <v>97</v>
      </c>
      <c r="G130">
        <v>4735.623048964505</v>
      </c>
      <c r="H130">
        <v>97</v>
      </c>
      <c r="I130">
        <v>4737.8231837525327</v>
      </c>
      <c r="J130">
        <v>97</v>
      </c>
      <c r="K130">
        <v>4735.4685655671692</v>
      </c>
      <c r="L130">
        <v>97</v>
      </c>
      <c r="M130">
        <v>4731.1151414002697</v>
      </c>
    </row>
    <row r="131" spans="2:13" x14ac:dyDescent="0.25">
      <c r="B131">
        <v>98</v>
      </c>
      <c r="C131">
        <v>4533.1946182277488</v>
      </c>
      <c r="D131">
        <v>98</v>
      </c>
      <c r="E131">
        <v>4527.5079016301715</v>
      </c>
      <c r="F131">
        <v>98</v>
      </c>
      <c r="G131">
        <v>4519.3316219916414</v>
      </c>
      <c r="H131">
        <v>98</v>
      </c>
      <c r="I131">
        <v>4521.3002996702362</v>
      </c>
      <c r="J131">
        <v>98</v>
      </c>
      <c r="K131">
        <v>4491.1140868323118</v>
      </c>
      <c r="L131">
        <v>98</v>
      </c>
      <c r="M131">
        <v>4468.0041936878515</v>
      </c>
    </row>
    <row r="132" spans="2:13" x14ac:dyDescent="0.25">
      <c r="B132">
        <v>99</v>
      </c>
      <c r="C132">
        <v>4640.9066633181592</v>
      </c>
      <c r="D132">
        <v>99</v>
      </c>
      <c r="E132">
        <v>4627.4554148334646</v>
      </c>
      <c r="F132">
        <v>99</v>
      </c>
      <c r="G132">
        <v>4631.1381871858121</v>
      </c>
      <c r="H132">
        <v>99</v>
      </c>
      <c r="I132">
        <v>4633.9848963234235</v>
      </c>
      <c r="J132">
        <v>99</v>
      </c>
      <c r="K132">
        <v>4614.876100556955</v>
      </c>
      <c r="L132">
        <v>99</v>
      </c>
      <c r="M132">
        <v>4606.7946648525385</v>
      </c>
    </row>
    <row r="133" spans="2:13" x14ac:dyDescent="0.25">
      <c r="B133">
        <v>100</v>
      </c>
      <c r="C133">
        <v>4644.0857813466928</v>
      </c>
      <c r="D133">
        <v>100</v>
      </c>
      <c r="E133">
        <v>4629.7376382848852</v>
      </c>
      <c r="F133">
        <v>100</v>
      </c>
      <c r="G133">
        <v>4636.8895518086174</v>
      </c>
      <c r="H133">
        <v>100</v>
      </c>
      <c r="I133">
        <v>4637.3665032679737</v>
      </c>
      <c r="J133">
        <v>100</v>
      </c>
      <c r="K133">
        <v>4620.3664719022063</v>
      </c>
      <c r="L133">
        <v>100</v>
      </c>
      <c r="M133">
        <v>4614.6097634427751</v>
      </c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D29:Q327"/>
  <sheetViews>
    <sheetView tabSelected="1" zoomScale="85" zoomScaleNormal="85" workbookViewId="0">
      <selection activeCell="X25" sqref="X25"/>
    </sheetView>
  </sheetViews>
  <sheetFormatPr baseColWidth="10" defaultColWidth="8.7109375" defaultRowHeight="15" x14ac:dyDescent="0.25"/>
  <cols>
    <col min="6" max="6" width="8.7109375" style="20"/>
    <col min="7" max="7" width="12" customWidth="1"/>
    <col min="16" max="16" width="8.7109375" style="20"/>
    <col min="17" max="17" width="10.85546875" customWidth="1"/>
  </cols>
  <sheetData>
    <row r="29" spans="4:17" x14ac:dyDescent="0.25">
      <c r="E29" s="7" t="s">
        <v>2</v>
      </c>
      <c r="G29" s="7" t="s">
        <v>3</v>
      </c>
      <c r="I29" s="7" t="s">
        <v>4</v>
      </c>
      <c r="K29" s="7" t="s">
        <v>5</v>
      </c>
      <c r="M29" s="7" t="s">
        <v>6</v>
      </c>
      <c r="O29" s="7" t="s">
        <v>7</v>
      </c>
      <c r="Q29" s="8" t="s">
        <v>1</v>
      </c>
    </row>
    <row r="30" spans="4:17" x14ac:dyDescent="0.25">
      <c r="D30" t="s">
        <v>8</v>
      </c>
      <c r="E30" t="s">
        <v>0</v>
      </c>
      <c r="F30" s="20" t="s">
        <v>8</v>
      </c>
      <c r="G30" t="s">
        <v>0</v>
      </c>
      <c r="H30" t="s">
        <v>8</v>
      </c>
      <c r="I30" t="s">
        <v>0</v>
      </c>
      <c r="J30" t="s">
        <v>8</v>
      </c>
      <c r="K30" t="s">
        <v>0</v>
      </c>
      <c r="L30" t="s">
        <v>8</v>
      </c>
      <c r="M30" t="s">
        <v>0</v>
      </c>
      <c r="N30" t="s">
        <v>8</v>
      </c>
      <c r="O30" t="s">
        <v>0</v>
      </c>
      <c r="P30" s="20" t="s">
        <v>8</v>
      </c>
      <c r="Q30" t="s">
        <v>0</v>
      </c>
    </row>
    <row r="31" spans="4:17" x14ac:dyDescent="0.25">
      <c r="D31">
        <v>0</v>
      </c>
      <c r="E31">
        <v>5102.8900000000003</v>
      </c>
      <c r="F31" s="20">
        <v>0</v>
      </c>
      <c r="G31" s="12">
        <v>5094.4799999999996</v>
      </c>
      <c r="H31">
        <v>0</v>
      </c>
      <c r="I31" s="12">
        <v>5100.5</v>
      </c>
      <c r="J31">
        <v>0</v>
      </c>
      <c r="K31" s="12">
        <v>5104.5600000000004</v>
      </c>
      <c r="L31">
        <v>0</v>
      </c>
      <c r="M31" s="12">
        <v>5105.92</v>
      </c>
      <c r="N31">
        <v>0</v>
      </c>
      <c r="O31" s="12">
        <v>5105.3999999999996</v>
      </c>
      <c r="P31" s="21">
        <v>0</v>
      </c>
      <c r="Q31" s="9">
        <f>AVERAGE(E31,G31,I31,K31,M31,O31)</f>
        <v>5102.291666666667</v>
      </c>
    </row>
    <row r="32" spans="4:17" x14ac:dyDescent="0.25">
      <c r="D32">
        <v>1</v>
      </c>
      <c r="E32">
        <v>4933.5150742181868</v>
      </c>
      <c r="F32" s="21">
        <v>1</v>
      </c>
      <c r="G32" s="24">
        <v>4926.5090246517984</v>
      </c>
      <c r="H32">
        <v>1</v>
      </c>
      <c r="I32">
        <v>4925.9163212193653</v>
      </c>
      <c r="J32">
        <v>1</v>
      </c>
      <c r="K32">
        <v>4934.0576036553839</v>
      </c>
      <c r="L32">
        <v>1</v>
      </c>
      <c r="M32">
        <v>4932.1872150589588</v>
      </c>
      <c r="N32">
        <v>1</v>
      </c>
      <c r="O32">
        <v>4932.5638907962657</v>
      </c>
      <c r="P32" s="21">
        <v>1</v>
      </c>
      <c r="Q32" s="9">
        <f>AVERAGE(E32,G32,I32,K32,M32,O32)</f>
        <v>4930.7915215999928</v>
      </c>
    </row>
    <row r="33" spans="4:17" hidden="1" x14ac:dyDescent="0.25">
      <c r="F33" s="1"/>
      <c r="G33" s="6"/>
      <c r="P33" s="1"/>
    </row>
    <row r="34" spans="4:17" hidden="1" x14ac:dyDescent="0.25">
      <c r="F34" s="1"/>
      <c r="G34" s="6"/>
      <c r="P34" s="1"/>
    </row>
    <row r="35" spans="4:17" x14ac:dyDescent="0.25">
      <c r="D35">
        <v>2</v>
      </c>
      <c r="E35">
        <v>4965.3787081542505</v>
      </c>
      <c r="F35" s="21">
        <v>2</v>
      </c>
      <c r="G35" s="24">
        <v>4958.0072978391518</v>
      </c>
      <c r="H35">
        <v>2</v>
      </c>
      <c r="I35">
        <v>4959.8198343972272</v>
      </c>
      <c r="J35">
        <v>2</v>
      </c>
      <c r="K35">
        <v>4967.3181999864373</v>
      </c>
      <c r="L35">
        <v>2</v>
      </c>
      <c r="M35">
        <v>4967.8067179963209</v>
      </c>
      <c r="N35">
        <v>2</v>
      </c>
      <c r="O35">
        <v>4970.1123034341281</v>
      </c>
      <c r="P35" s="21">
        <v>2</v>
      </c>
      <c r="Q35" s="9">
        <f t="shared" ref="Q35:Q36" si="0">AVERAGE(E35,G35,I35,K35,M35,O35)</f>
        <v>4964.7405103012525</v>
      </c>
    </row>
    <row r="36" spans="4:17" x14ac:dyDescent="0.25">
      <c r="D36">
        <v>3</v>
      </c>
      <c r="E36">
        <v>4890.0360115036074</v>
      </c>
      <c r="F36" s="21">
        <v>3</v>
      </c>
      <c r="G36" s="24">
        <v>4885.2309724235574</v>
      </c>
      <c r="H36">
        <v>3</v>
      </c>
      <c r="I36">
        <v>4885.9604636623344</v>
      </c>
      <c r="J36">
        <v>3</v>
      </c>
      <c r="K36">
        <v>4894.8732079126503</v>
      </c>
      <c r="L36">
        <v>3</v>
      </c>
      <c r="M36">
        <v>4893.1063731848126</v>
      </c>
      <c r="N36">
        <v>3</v>
      </c>
      <c r="O36">
        <v>4896.8420379695326</v>
      </c>
      <c r="P36" s="21">
        <v>3</v>
      </c>
      <c r="Q36" s="9">
        <f t="shared" si="0"/>
        <v>4891.0081777760824</v>
      </c>
    </row>
    <row r="37" spans="4:17" hidden="1" x14ac:dyDescent="0.25">
      <c r="F37" s="1"/>
      <c r="G37" s="6"/>
      <c r="P37" s="1"/>
    </row>
    <row r="38" spans="4:17" x14ac:dyDescent="0.25">
      <c r="D38">
        <v>4</v>
      </c>
      <c r="E38">
        <v>4944.0078306333344</v>
      </c>
      <c r="F38" s="21">
        <v>4</v>
      </c>
      <c r="G38" s="24">
        <v>4933.4299064113329</v>
      </c>
      <c r="H38">
        <v>4</v>
      </c>
      <c r="I38">
        <v>4934.6002852589372</v>
      </c>
      <c r="J38">
        <v>4</v>
      </c>
      <c r="K38">
        <v>4941.8191316344955</v>
      </c>
      <c r="L38">
        <v>4</v>
      </c>
      <c r="M38">
        <v>4943.5459247814997</v>
      </c>
      <c r="N38">
        <v>4</v>
      </c>
      <c r="O38">
        <v>4943.0707598992904</v>
      </c>
      <c r="P38" s="21">
        <v>4</v>
      </c>
      <c r="Q38" s="9">
        <f>AVERAGE(E38,G38,I38,K38,M38,O38)</f>
        <v>4940.0789731031482</v>
      </c>
    </row>
    <row r="39" spans="4:17" hidden="1" x14ac:dyDescent="0.25">
      <c r="F39" s="1"/>
      <c r="G39" s="6"/>
      <c r="P39" s="1"/>
    </row>
    <row r="40" spans="4:17" hidden="1" x14ac:dyDescent="0.25">
      <c r="F40" s="1"/>
      <c r="G40" s="6"/>
      <c r="P40" s="1"/>
    </row>
    <row r="41" spans="4:17" hidden="1" x14ac:dyDescent="0.25">
      <c r="F41" s="1"/>
      <c r="G41" s="6"/>
      <c r="P41" s="1"/>
    </row>
    <row r="42" spans="4:17" x14ac:dyDescent="0.25">
      <c r="D42">
        <v>5</v>
      </c>
      <c r="E42">
        <v>5008.6706687690212</v>
      </c>
      <c r="F42" s="21">
        <v>5</v>
      </c>
      <c r="G42" s="24">
        <v>4998.7321908140684</v>
      </c>
      <c r="H42">
        <v>5</v>
      </c>
      <c r="I42">
        <v>5004.496858125005</v>
      </c>
      <c r="J42">
        <v>5</v>
      </c>
      <c r="K42">
        <v>5008.4719096242052</v>
      </c>
      <c r="L42">
        <v>5</v>
      </c>
      <c r="M42">
        <v>5011.2811682476713</v>
      </c>
      <c r="N42">
        <v>5</v>
      </c>
      <c r="O42">
        <v>5012.6974163508912</v>
      </c>
      <c r="P42" s="21">
        <v>5</v>
      </c>
      <c r="Q42" s="9">
        <f>AVERAGE(E42,G42,I42,K42,M42,O42)</f>
        <v>5007.3917019884766</v>
      </c>
    </row>
    <row r="43" spans="4:17" hidden="1" x14ac:dyDescent="0.25">
      <c r="F43" s="1"/>
      <c r="G43" s="6"/>
      <c r="P43" s="1"/>
    </row>
    <row r="44" spans="4:17" hidden="1" x14ac:dyDescent="0.25">
      <c r="F44" s="1"/>
      <c r="G44" s="6"/>
      <c r="P44" s="1"/>
    </row>
    <row r="45" spans="4:17" x14ac:dyDescent="0.25">
      <c r="D45">
        <v>6</v>
      </c>
      <c r="E45">
        <v>4893.8980394276168</v>
      </c>
      <c r="F45" s="21">
        <v>6</v>
      </c>
      <c r="G45" s="24">
        <v>4886.002114858049</v>
      </c>
      <c r="H45">
        <v>6</v>
      </c>
      <c r="I45">
        <v>4880.8774988767655</v>
      </c>
      <c r="J45">
        <v>6</v>
      </c>
      <c r="K45">
        <v>4886.9693124115183</v>
      </c>
      <c r="L45">
        <v>6</v>
      </c>
      <c r="M45">
        <v>4895.494052160424</v>
      </c>
      <c r="N45">
        <v>6</v>
      </c>
      <c r="O45">
        <v>4892.3969859193139</v>
      </c>
      <c r="P45" s="21">
        <v>6</v>
      </c>
      <c r="Q45" s="9">
        <f>AVERAGE(E45,G45,I45,K45,M45,O45)</f>
        <v>4889.2730006089469</v>
      </c>
    </row>
    <row r="46" spans="4:17" hidden="1" x14ac:dyDescent="0.25">
      <c r="F46" s="1"/>
      <c r="G46" s="6"/>
      <c r="P46" s="1"/>
    </row>
    <row r="47" spans="4:17" hidden="1" x14ac:dyDescent="0.25">
      <c r="F47" s="1"/>
      <c r="G47" s="6"/>
      <c r="P47" s="1"/>
    </row>
    <row r="48" spans="4:17" hidden="1" x14ac:dyDescent="0.25">
      <c r="F48" s="1"/>
      <c r="G48" s="6"/>
      <c r="P48" s="1"/>
    </row>
    <row r="49" spans="4:17" x14ac:dyDescent="0.25">
      <c r="D49">
        <v>7</v>
      </c>
      <c r="E49">
        <v>4989.3723025440177</v>
      </c>
      <c r="F49" s="21">
        <v>7</v>
      </c>
      <c r="G49" s="24">
        <v>4977.8353610877984</v>
      </c>
      <c r="H49">
        <v>7</v>
      </c>
      <c r="I49">
        <v>4983.9960625365584</v>
      </c>
      <c r="J49">
        <v>7</v>
      </c>
      <c r="K49">
        <v>4988.5160154031355</v>
      </c>
      <c r="L49">
        <v>7</v>
      </c>
      <c r="M49">
        <v>4991.3000122919902</v>
      </c>
      <c r="N49">
        <v>7</v>
      </c>
      <c r="O49">
        <v>4992.832983223554</v>
      </c>
      <c r="P49" s="21">
        <v>7</v>
      </c>
      <c r="Q49" s="9">
        <f>AVERAGE(E49,G49,I49,K49,M49,O49)</f>
        <v>4987.308789514509</v>
      </c>
    </row>
    <row r="50" spans="4:17" hidden="1" x14ac:dyDescent="0.25">
      <c r="F50" s="1"/>
      <c r="G50" s="6"/>
      <c r="P50" s="1"/>
    </row>
    <row r="51" spans="4:17" hidden="1" x14ac:dyDescent="0.25">
      <c r="F51" s="1"/>
      <c r="G51" s="6"/>
      <c r="P51" s="1"/>
    </row>
    <row r="52" spans="4:17" x14ac:dyDescent="0.25">
      <c r="D52">
        <v>8</v>
      </c>
      <c r="E52">
        <v>4877.843747191916</v>
      </c>
      <c r="F52" s="21">
        <v>8</v>
      </c>
      <c r="G52" s="24">
        <v>4870.2731816332243</v>
      </c>
      <c r="H52">
        <v>8</v>
      </c>
      <c r="I52">
        <v>4869.4397262277153</v>
      </c>
      <c r="J52">
        <v>8</v>
      </c>
      <c r="K52">
        <v>4875.2163324517005</v>
      </c>
      <c r="L52">
        <v>8</v>
      </c>
      <c r="M52">
        <v>4876.7359390232532</v>
      </c>
      <c r="N52">
        <v>8</v>
      </c>
      <c r="O52">
        <v>4872.7813905631428</v>
      </c>
      <c r="P52" s="21">
        <v>8</v>
      </c>
      <c r="Q52" s="9">
        <f>AVERAGE(E52,G52,I52,K52,M52,O52)</f>
        <v>4873.7150528484917</v>
      </c>
    </row>
    <row r="53" spans="4:17" hidden="1" x14ac:dyDescent="0.25">
      <c r="F53" s="1"/>
      <c r="G53" s="6"/>
      <c r="P53" s="1"/>
    </row>
    <row r="54" spans="4:17" x14ac:dyDescent="0.25">
      <c r="D54">
        <v>9</v>
      </c>
      <c r="E54">
        <v>4918.3333594008291</v>
      </c>
      <c r="F54" s="21">
        <v>9</v>
      </c>
      <c r="G54" s="24">
        <v>4906.4895323109786</v>
      </c>
      <c r="H54">
        <v>9</v>
      </c>
      <c r="I54">
        <v>4910.0393901053712</v>
      </c>
      <c r="J54">
        <v>9</v>
      </c>
      <c r="K54">
        <v>4916.2769673541707</v>
      </c>
      <c r="L54">
        <v>9</v>
      </c>
      <c r="M54">
        <v>4919.0063407593907</v>
      </c>
      <c r="N54">
        <v>9</v>
      </c>
      <c r="O54">
        <v>4918.5587696989733</v>
      </c>
      <c r="P54" s="21">
        <v>9</v>
      </c>
      <c r="Q54" s="9">
        <f>AVERAGE(E54,G54,I54,K54,M54,O54)</f>
        <v>4914.7840599382862</v>
      </c>
    </row>
    <row r="55" spans="4:17" hidden="1" x14ac:dyDescent="0.25">
      <c r="F55" s="1"/>
      <c r="G55" s="6"/>
      <c r="P55" s="1"/>
    </row>
    <row r="56" spans="4:17" hidden="1" x14ac:dyDescent="0.25">
      <c r="F56" s="1"/>
      <c r="G56" s="6"/>
      <c r="P56" s="1"/>
    </row>
    <row r="57" spans="4:17" x14ac:dyDescent="0.25">
      <c r="D57">
        <v>10</v>
      </c>
      <c r="E57">
        <v>4922.0176379457971</v>
      </c>
      <c r="F57" s="21">
        <v>10</v>
      </c>
      <c r="G57" s="24">
        <v>4910.6089271636019</v>
      </c>
      <c r="H57">
        <v>10</v>
      </c>
      <c r="I57">
        <v>4914.3917972160771</v>
      </c>
      <c r="J57">
        <v>10</v>
      </c>
      <c r="K57">
        <v>4920.3595750362401</v>
      </c>
      <c r="L57">
        <v>10</v>
      </c>
      <c r="M57">
        <v>4924.0816166933701</v>
      </c>
      <c r="N57">
        <v>10</v>
      </c>
      <c r="O57">
        <v>4923.6172689741688</v>
      </c>
      <c r="P57" s="21">
        <v>10</v>
      </c>
      <c r="Q57" s="9">
        <f>AVERAGE(E57,G57,I57,K57,M57,O57)</f>
        <v>4919.179470504876</v>
      </c>
    </row>
    <row r="58" spans="4:17" hidden="1" x14ac:dyDescent="0.25">
      <c r="F58" s="1"/>
      <c r="G58" s="6"/>
      <c r="P58" s="1"/>
    </row>
    <row r="59" spans="4:17" hidden="1" x14ac:dyDescent="0.25">
      <c r="F59" s="4"/>
      <c r="G59" s="5"/>
      <c r="P59" s="4"/>
    </row>
    <row r="60" spans="4:17" hidden="1" x14ac:dyDescent="0.25">
      <c r="F60" s="4"/>
      <c r="G60" s="5"/>
      <c r="P60" s="4"/>
    </row>
    <row r="61" spans="4:17" hidden="1" x14ac:dyDescent="0.25">
      <c r="F61" s="4"/>
      <c r="G61" s="5"/>
      <c r="P61" s="4"/>
    </row>
    <row r="62" spans="4:17" x14ac:dyDescent="0.25">
      <c r="D62">
        <v>11</v>
      </c>
      <c r="E62">
        <v>4914.5555638208589</v>
      </c>
      <c r="F62" s="21">
        <v>11</v>
      </c>
      <c r="G62" s="24">
        <v>4904.883314895349</v>
      </c>
      <c r="H62">
        <v>11</v>
      </c>
      <c r="I62">
        <v>4909.0504793876044</v>
      </c>
      <c r="J62">
        <v>11</v>
      </c>
      <c r="K62">
        <v>4914.1740045607521</v>
      </c>
      <c r="L62">
        <v>11</v>
      </c>
      <c r="M62">
        <v>4917.7009780609169</v>
      </c>
      <c r="N62">
        <v>11</v>
      </c>
      <c r="O62">
        <v>4917.4876787636795</v>
      </c>
      <c r="P62" s="21">
        <v>11</v>
      </c>
      <c r="Q62" s="9">
        <f>AVERAGE(E62,G62,I62,K62,M62,O62)</f>
        <v>4912.9753365815259</v>
      </c>
    </row>
    <row r="63" spans="4:17" hidden="1" x14ac:dyDescent="0.25">
      <c r="F63" s="1"/>
      <c r="G63" s="6"/>
      <c r="P63" s="1"/>
    </row>
    <row r="64" spans="4:17" hidden="1" x14ac:dyDescent="0.25">
      <c r="F64" s="1"/>
      <c r="G64" s="6"/>
      <c r="P64" s="1"/>
    </row>
    <row r="65" spans="4:17" x14ac:dyDescent="0.25">
      <c r="D65">
        <v>12</v>
      </c>
      <c r="E65">
        <v>4915.5810591032778</v>
      </c>
      <c r="F65" s="21">
        <v>12</v>
      </c>
      <c r="G65" s="24">
        <v>4905.8890597051613</v>
      </c>
      <c r="H65">
        <v>12</v>
      </c>
      <c r="I65">
        <v>4908.2541682561478</v>
      </c>
      <c r="J65">
        <v>12</v>
      </c>
      <c r="K65">
        <v>4913.1254974017284</v>
      </c>
      <c r="L65">
        <v>12</v>
      </c>
      <c r="M65">
        <v>4917.5481646787548</v>
      </c>
      <c r="N65">
        <v>12</v>
      </c>
      <c r="O65">
        <v>4916.7079671168067</v>
      </c>
      <c r="P65" s="21">
        <v>12</v>
      </c>
      <c r="Q65" s="9">
        <f t="shared" ref="Q65:Q66" si="1">AVERAGE(E65,G65,I65,K65,M65,O65)</f>
        <v>4912.8509860436461</v>
      </c>
    </row>
    <row r="66" spans="4:17" x14ac:dyDescent="0.25">
      <c r="D66">
        <v>13</v>
      </c>
      <c r="E66">
        <v>4836.5529557996997</v>
      </c>
      <c r="F66" s="21">
        <v>13</v>
      </c>
      <c r="G66" s="24">
        <v>4827.5643057568896</v>
      </c>
      <c r="H66">
        <v>13</v>
      </c>
      <c r="I66">
        <v>4829.9073580275171</v>
      </c>
      <c r="J66">
        <v>13</v>
      </c>
      <c r="K66">
        <v>4836.3753225587689</v>
      </c>
      <c r="L66">
        <v>13</v>
      </c>
      <c r="M66">
        <v>4837.675100455227</v>
      </c>
      <c r="N66">
        <v>13</v>
      </c>
      <c r="O66">
        <v>4833.150125251138</v>
      </c>
      <c r="P66" s="21">
        <v>13</v>
      </c>
      <c r="Q66" s="9">
        <f t="shared" si="1"/>
        <v>4833.5375279748732</v>
      </c>
    </row>
    <row r="67" spans="4:17" hidden="1" x14ac:dyDescent="0.25">
      <c r="F67" s="1"/>
      <c r="G67" s="6"/>
      <c r="P67" s="1"/>
    </row>
    <row r="68" spans="4:17" x14ac:dyDescent="0.25">
      <c r="D68">
        <v>14</v>
      </c>
      <c r="E68">
        <v>4897.3744171901362</v>
      </c>
      <c r="F68" s="21">
        <v>14</v>
      </c>
      <c r="G68" s="24">
        <v>4886.0029687274819</v>
      </c>
      <c r="H68">
        <v>14</v>
      </c>
      <c r="I68">
        <v>4889.9469456524503</v>
      </c>
      <c r="J68">
        <v>14</v>
      </c>
      <c r="K68">
        <v>4895.6321015911763</v>
      </c>
      <c r="L68">
        <v>14</v>
      </c>
      <c r="M68">
        <v>4899.3571431296268</v>
      </c>
      <c r="N68">
        <v>14</v>
      </c>
      <c r="O68">
        <v>4898.6148830565526</v>
      </c>
      <c r="P68" s="21">
        <v>14</v>
      </c>
      <c r="Q68" s="9">
        <f>AVERAGE(E68,G68,I68,K68,M68,O68)</f>
        <v>4894.4880765579037</v>
      </c>
    </row>
    <row r="69" spans="4:17" hidden="1" x14ac:dyDescent="0.25">
      <c r="F69" s="1"/>
      <c r="G69" s="6"/>
      <c r="P69" s="1"/>
    </row>
    <row r="70" spans="4:17" hidden="1" x14ac:dyDescent="0.25">
      <c r="F70" s="1"/>
      <c r="G70" s="6"/>
      <c r="P70" s="1"/>
    </row>
    <row r="71" spans="4:17" hidden="1" x14ac:dyDescent="0.25">
      <c r="F71" s="1"/>
      <c r="G71" s="6"/>
      <c r="P71" s="1"/>
    </row>
    <row r="72" spans="4:17" x14ac:dyDescent="0.25">
      <c r="D72">
        <v>15</v>
      </c>
      <c r="E72">
        <v>4966.9479099378614</v>
      </c>
      <c r="F72" s="21">
        <v>15</v>
      </c>
      <c r="G72" s="24">
        <v>4957.2702165085666</v>
      </c>
      <c r="H72">
        <v>15</v>
      </c>
      <c r="I72">
        <v>4964.1947708179687</v>
      </c>
      <c r="J72">
        <v>15</v>
      </c>
      <c r="K72">
        <v>4967.2145501131708</v>
      </c>
      <c r="L72">
        <v>15</v>
      </c>
      <c r="M72">
        <v>4970.3135209769162</v>
      </c>
      <c r="N72">
        <v>15</v>
      </c>
      <c r="O72">
        <v>4972.1537638920681</v>
      </c>
      <c r="P72" s="21">
        <v>15</v>
      </c>
      <c r="Q72" s="9">
        <f>AVERAGE(E72,G72,I72,K72,M72,O72)</f>
        <v>4966.3491220410915</v>
      </c>
    </row>
    <row r="73" spans="4:17" hidden="1" x14ac:dyDescent="0.25">
      <c r="F73" s="1"/>
      <c r="G73" s="6"/>
      <c r="P73" s="1"/>
    </row>
    <row r="74" spans="4:17" hidden="1" x14ac:dyDescent="0.25">
      <c r="F74" s="1"/>
      <c r="G74" s="6"/>
      <c r="P74" s="1"/>
    </row>
    <row r="75" spans="4:17" x14ac:dyDescent="0.25">
      <c r="D75">
        <v>16</v>
      </c>
      <c r="E75">
        <v>4839.7304820155478</v>
      </c>
      <c r="F75" s="21">
        <v>16</v>
      </c>
      <c r="G75" s="24">
        <v>4829.6253980061538</v>
      </c>
      <c r="H75">
        <v>16</v>
      </c>
      <c r="I75">
        <v>4832.4703900799414</v>
      </c>
      <c r="J75">
        <v>16</v>
      </c>
      <c r="K75">
        <v>4838.1479283758463</v>
      </c>
      <c r="L75">
        <v>16</v>
      </c>
      <c r="M75">
        <v>4837.3719403541791</v>
      </c>
      <c r="N75">
        <v>16</v>
      </c>
      <c r="O75">
        <v>4834.8202866576812</v>
      </c>
      <c r="P75" s="21">
        <v>16</v>
      </c>
      <c r="Q75" s="9">
        <f>AVERAGE(E75,G75,I75,K75,M75,O75)</f>
        <v>4835.3610709148916</v>
      </c>
    </row>
    <row r="76" spans="4:17" hidden="1" x14ac:dyDescent="0.25">
      <c r="F76" s="1"/>
      <c r="G76" s="6"/>
      <c r="P76" s="1"/>
    </row>
    <row r="77" spans="4:17" hidden="1" x14ac:dyDescent="0.25">
      <c r="F77" s="1"/>
      <c r="G77" s="6"/>
      <c r="P77" s="1"/>
    </row>
    <row r="78" spans="4:17" hidden="1" x14ac:dyDescent="0.25">
      <c r="F78" s="1"/>
      <c r="G78" s="6"/>
      <c r="P78" s="1"/>
    </row>
    <row r="79" spans="4:17" x14ac:dyDescent="0.25">
      <c r="D79">
        <v>17</v>
      </c>
      <c r="E79">
        <v>4951.5338498088386</v>
      </c>
      <c r="F79" s="21">
        <v>17</v>
      </c>
      <c r="G79" s="24">
        <v>4939.0381017776763</v>
      </c>
      <c r="H79">
        <v>17</v>
      </c>
      <c r="I79">
        <v>4946.2788647711577</v>
      </c>
      <c r="J79">
        <v>17</v>
      </c>
      <c r="K79">
        <v>4949.7683150648936</v>
      </c>
      <c r="L79">
        <v>17</v>
      </c>
      <c r="M79">
        <v>4953.9760001017266</v>
      </c>
      <c r="N79">
        <v>17</v>
      </c>
      <c r="O79">
        <v>4955.7775696616727</v>
      </c>
      <c r="P79" s="21">
        <v>17</v>
      </c>
      <c r="Q79" s="9">
        <f>AVERAGE(E79,G79,I79,K79,M79,O79)</f>
        <v>4949.3954501976614</v>
      </c>
    </row>
    <row r="80" spans="4:17" hidden="1" x14ac:dyDescent="0.25">
      <c r="F80" s="1"/>
      <c r="G80" s="6"/>
      <c r="P80" s="1"/>
    </row>
    <row r="81" spans="4:17" hidden="1" x14ac:dyDescent="0.25">
      <c r="F81" s="1"/>
      <c r="G81" s="6"/>
      <c r="P81" s="1"/>
    </row>
    <row r="82" spans="4:17" x14ac:dyDescent="0.25">
      <c r="D82">
        <v>18</v>
      </c>
      <c r="E82">
        <v>4827.8971900087308</v>
      </c>
      <c r="F82" s="21">
        <v>18</v>
      </c>
      <c r="G82" s="24">
        <v>4819.2284309486877</v>
      </c>
      <c r="H82">
        <v>18</v>
      </c>
      <c r="I82">
        <v>4820.3961093732778</v>
      </c>
      <c r="J82">
        <v>18</v>
      </c>
      <c r="K82">
        <v>4827.6409035036413</v>
      </c>
      <c r="L82">
        <v>18</v>
      </c>
      <c r="M82">
        <v>4825.6894642811731</v>
      </c>
      <c r="N82">
        <v>18</v>
      </c>
      <c r="O82">
        <v>4823.597628705611</v>
      </c>
      <c r="P82" s="21">
        <v>18</v>
      </c>
      <c r="Q82" s="9">
        <f>AVERAGE(E82,G82,I82,K82,M82,O82)</f>
        <v>4824.0749544701866</v>
      </c>
    </row>
    <row r="83" spans="4:17" hidden="1" x14ac:dyDescent="0.25">
      <c r="F83" s="1"/>
      <c r="G83" s="6"/>
      <c r="P83" s="1"/>
    </row>
    <row r="84" spans="4:17" x14ac:dyDescent="0.25">
      <c r="D84">
        <v>19</v>
      </c>
      <c r="E84">
        <v>4881.2452385493762</v>
      </c>
      <c r="F84" s="21">
        <v>19</v>
      </c>
      <c r="G84" s="24">
        <v>4869.0804300924865</v>
      </c>
      <c r="H84">
        <v>19</v>
      </c>
      <c r="I84">
        <v>4872.3804758695524</v>
      </c>
      <c r="J84">
        <v>19</v>
      </c>
      <c r="K84">
        <v>4877.4209849698636</v>
      </c>
      <c r="L84">
        <v>19</v>
      </c>
      <c r="M84">
        <v>4881.1052200690046</v>
      </c>
      <c r="N84">
        <v>19</v>
      </c>
      <c r="O84">
        <v>4881.252755948899</v>
      </c>
      <c r="P84" s="21">
        <v>19</v>
      </c>
      <c r="Q84" s="9">
        <f>AVERAGE(E84,G84,I84,K84,M84,O84)</f>
        <v>4877.0808509165308</v>
      </c>
    </row>
    <row r="85" spans="4:17" hidden="1" x14ac:dyDescent="0.25">
      <c r="F85" s="1"/>
      <c r="G85" s="6"/>
      <c r="P85" s="1"/>
    </row>
    <row r="86" spans="4:17" hidden="1" x14ac:dyDescent="0.25">
      <c r="F86" s="1"/>
      <c r="G86" s="6"/>
      <c r="P86" s="1"/>
    </row>
    <row r="87" spans="4:17" x14ac:dyDescent="0.25">
      <c r="D87">
        <v>20</v>
      </c>
      <c r="E87">
        <v>4885.8328230038242</v>
      </c>
      <c r="F87" s="21">
        <v>20</v>
      </c>
      <c r="G87" s="24">
        <v>4874.4184672312513</v>
      </c>
      <c r="H87">
        <v>20</v>
      </c>
      <c r="I87">
        <v>4878.5547197002452</v>
      </c>
      <c r="J87">
        <v>20</v>
      </c>
      <c r="K87">
        <v>4883.7524420792961</v>
      </c>
      <c r="L87">
        <v>20</v>
      </c>
      <c r="M87">
        <v>4886.634721692395</v>
      </c>
      <c r="N87">
        <v>20</v>
      </c>
      <c r="O87">
        <v>4888.3497096547217</v>
      </c>
      <c r="P87" s="21">
        <v>20</v>
      </c>
      <c r="Q87" s="9">
        <f>AVERAGE(E87,G87,I87,K87,M87,O87)</f>
        <v>4882.9238138936225</v>
      </c>
    </row>
    <row r="88" spans="4:17" hidden="1" x14ac:dyDescent="0.25">
      <c r="F88" s="3"/>
      <c r="G88" s="2"/>
      <c r="P88" s="3"/>
    </row>
    <row r="89" spans="4:17" hidden="1" x14ac:dyDescent="0.25">
      <c r="F89" s="4"/>
      <c r="G89" s="5"/>
      <c r="P89" s="4"/>
    </row>
    <row r="90" spans="4:17" hidden="1" x14ac:dyDescent="0.25">
      <c r="F90" s="4"/>
      <c r="G90" s="5"/>
      <c r="P90" s="4"/>
    </row>
    <row r="91" spans="4:17" hidden="1" x14ac:dyDescent="0.25">
      <c r="F91" s="4"/>
      <c r="G91" s="5"/>
      <c r="P91" s="4"/>
    </row>
    <row r="92" spans="4:17" x14ac:dyDescent="0.25">
      <c r="D92">
        <v>21</v>
      </c>
      <c r="E92">
        <v>4878.2543801870079</v>
      </c>
      <c r="F92" s="21">
        <v>21</v>
      </c>
      <c r="G92" s="24">
        <v>4867.5482960758882</v>
      </c>
      <c r="H92">
        <v>21</v>
      </c>
      <c r="I92">
        <v>4872.9990554241585</v>
      </c>
      <c r="J92">
        <v>21</v>
      </c>
      <c r="K92">
        <v>4876.4875507574407</v>
      </c>
      <c r="L92">
        <v>21</v>
      </c>
      <c r="M92">
        <v>4881.3290947161395</v>
      </c>
      <c r="N92">
        <v>21</v>
      </c>
      <c r="O92">
        <v>4880.534547273297</v>
      </c>
      <c r="P92" s="21">
        <v>21</v>
      </c>
      <c r="Q92" s="9">
        <f>AVERAGE(E92,G92,I92,K92,M92,O92)</f>
        <v>4876.1921540723224</v>
      </c>
    </row>
    <row r="93" spans="4:17" hidden="1" x14ac:dyDescent="0.25">
      <c r="F93" s="1"/>
      <c r="G93" s="6"/>
      <c r="P93" s="1"/>
    </row>
    <row r="94" spans="4:17" hidden="1" x14ac:dyDescent="0.25">
      <c r="F94" s="1"/>
      <c r="G94" s="6"/>
      <c r="P94" s="1"/>
    </row>
    <row r="95" spans="4:17" x14ac:dyDescent="0.25">
      <c r="D95">
        <v>22</v>
      </c>
      <c r="E95">
        <v>4881.4554684519717</v>
      </c>
      <c r="F95" s="21">
        <v>22</v>
      </c>
      <c r="G95" s="24">
        <v>4869.5626045878789</v>
      </c>
      <c r="H95">
        <v>22</v>
      </c>
      <c r="I95">
        <v>4872.8163214312963</v>
      </c>
      <c r="J95">
        <v>22</v>
      </c>
      <c r="K95">
        <v>4877.7738066173288</v>
      </c>
      <c r="L95">
        <v>22</v>
      </c>
      <c r="M95">
        <v>4881.7509422446019</v>
      </c>
      <c r="N95">
        <v>22</v>
      </c>
      <c r="O95">
        <v>4881.4878256317661</v>
      </c>
      <c r="P95" s="21">
        <v>22</v>
      </c>
      <c r="Q95" s="9">
        <f t="shared" ref="Q95:Q96" si="2">AVERAGE(E95,G95,I95,K95,M95,O95)</f>
        <v>4877.4744948274738</v>
      </c>
    </row>
    <row r="96" spans="4:17" x14ac:dyDescent="0.25">
      <c r="D96">
        <v>23</v>
      </c>
      <c r="E96">
        <v>4803.1372534184447</v>
      </c>
      <c r="F96" s="21">
        <v>23</v>
      </c>
      <c r="G96" s="24">
        <v>4790.4702819952017</v>
      </c>
      <c r="H96">
        <v>23</v>
      </c>
      <c r="I96">
        <v>4789.6698805981532</v>
      </c>
      <c r="J96">
        <v>23</v>
      </c>
      <c r="K96">
        <v>4797.0229506285868</v>
      </c>
      <c r="L96">
        <v>23</v>
      </c>
      <c r="M96">
        <v>4802.5449855039296</v>
      </c>
      <c r="N96">
        <v>23</v>
      </c>
      <c r="O96">
        <v>4798.0736892076329</v>
      </c>
      <c r="P96" s="21">
        <v>23</v>
      </c>
      <c r="Q96" s="9">
        <f t="shared" si="2"/>
        <v>4796.8198402253247</v>
      </c>
    </row>
    <row r="97" spans="4:17" hidden="1" x14ac:dyDescent="0.25">
      <c r="F97" s="1"/>
      <c r="G97" s="6"/>
      <c r="P97" s="1"/>
    </row>
    <row r="98" spans="4:17" x14ac:dyDescent="0.25">
      <c r="D98">
        <v>24</v>
      </c>
      <c r="E98">
        <v>4864.0046120393681</v>
      </c>
      <c r="F98" s="21">
        <v>24</v>
      </c>
      <c r="G98" s="24">
        <v>4850.3373155141862</v>
      </c>
      <c r="H98">
        <v>24</v>
      </c>
      <c r="I98">
        <v>4854.5707715554872</v>
      </c>
      <c r="J98">
        <v>24</v>
      </c>
      <c r="K98">
        <v>4859.1647681900258</v>
      </c>
      <c r="L98">
        <v>24</v>
      </c>
      <c r="M98">
        <v>4864.3593970143183</v>
      </c>
      <c r="N98">
        <v>24</v>
      </c>
      <c r="O98">
        <v>4863.8110528301249</v>
      </c>
      <c r="P98" s="21">
        <v>24</v>
      </c>
      <c r="Q98" s="9">
        <f>AVERAGE(E98,G98,I98,K98,M98,O98)</f>
        <v>4859.3746528572519</v>
      </c>
    </row>
    <row r="99" spans="4:17" hidden="1" x14ac:dyDescent="0.25">
      <c r="F99" s="1"/>
      <c r="G99" s="6"/>
      <c r="P99" s="1"/>
    </row>
    <row r="100" spans="4:17" hidden="1" x14ac:dyDescent="0.25">
      <c r="F100" s="1"/>
      <c r="G100" s="6"/>
      <c r="P100" s="1"/>
    </row>
    <row r="101" spans="4:17" hidden="1" x14ac:dyDescent="0.25">
      <c r="F101" s="1"/>
      <c r="G101" s="6"/>
      <c r="P101" s="1"/>
    </row>
    <row r="102" spans="4:17" x14ac:dyDescent="0.25">
      <c r="D102">
        <v>25</v>
      </c>
      <c r="E102">
        <v>4935.1370421233778</v>
      </c>
      <c r="F102" s="21">
        <v>25</v>
      </c>
      <c r="G102" s="24">
        <v>4924.6633185829451</v>
      </c>
      <c r="H102">
        <v>25</v>
      </c>
      <c r="I102">
        <v>4933.1068915676933</v>
      </c>
      <c r="J102">
        <v>25</v>
      </c>
      <c r="K102">
        <v>4935.8603229402443</v>
      </c>
      <c r="L102">
        <v>25</v>
      </c>
      <c r="M102">
        <v>4939.405772996618</v>
      </c>
      <c r="N102">
        <v>25</v>
      </c>
      <c r="O102">
        <v>4940.7929043428876</v>
      </c>
      <c r="P102" s="21">
        <v>25</v>
      </c>
      <c r="Q102" s="9">
        <f>AVERAGE(E102,G102,I102,K102,M102,O102)</f>
        <v>4934.8277087589613</v>
      </c>
    </row>
    <row r="103" spans="4:17" hidden="1" x14ac:dyDescent="0.25">
      <c r="F103" s="1"/>
      <c r="G103" s="6"/>
      <c r="P103" s="1"/>
    </row>
    <row r="104" spans="4:17" hidden="1" x14ac:dyDescent="0.25">
      <c r="F104" s="1"/>
      <c r="G104" s="6"/>
      <c r="P104" s="1"/>
    </row>
    <row r="105" spans="4:17" x14ac:dyDescent="0.25">
      <c r="D105">
        <v>26</v>
      </c>
      <c r="E105">
        <v>4804.0267880606625</v>
      </c>
      <c r="F105" s="21">
        <v>26</v>
      </c>
      <c r="G105" s="24">
        <v>4793.9902278680602</v>
      </c>
      <c r="H105">
        <v>26</v>
      </c>
      <c r="I105">
        <v>4791.4191901274135</v>
      </c>
      <c r="J105">
        <v>26</v>
      </c>
      <c r="K105">
        <v>4798.3892171697898</v>
      </c>
      <c r="L105">
        <v>26</v>
      </c>
      <c r="M105">
        <v>4795.9511853292979</v>
      </c>
      <c r="N105">
        <v>26</v>
      </c>
      <c r="O105">
        <v>4796.2504641285832</v>
      </c>
      <c r="P105" s="21">
        <v>26</v>
      </c>
      <c r="Q105" s="9">
        <f>AVERAGE(E105,G105,I105,K105,M105,O105)</f>
        <v>4796.6711787806344</v>
      </c>
    </row>
    <row r="106" spans="4:17" hidden="1" x14ac:dyDescent="0.25">
      <c r="F106" s="1"/>
      <c r="G106" s="6"/>
      <c r="P106" s="1"/>
    </row>
    <row r="107" spans="4:17" hidden="1" x14ac:dyDescent="0.25">
      <c r="F107" s="1"/>
      <c r="G107" s="6"/>
      <c r="P107" s="1"/>
    </row>
    <row r="108" spans="4:17" hidden="1" x14ac:dyDescent="0.25">
      <c r="F108" s="1"/>
      <c r="G108" s="6"/>
      <c r="P108" s="1"/>
    </row>
    <row r="109" spans="4:17" x14ac:dyDescent="0.25">
      <c r="D109">
        <v>27</v>
      </c>
      <c r="E109">
        <v>4920.4840346125484</v>
      </c>
      <c r="F109" s="21">
        <v>27</v>
      </c>
      <c r="G109" s="24">
        <v>4908.2137210396486</v>
      </c>
      <c r="H109">
        <v>27</v>
      </c>
      <c r="I109">
        <v>4915.2190614853816</v>
      </c>
      <c r="J109">
        <v>27</v>
      </c>
      <c r="K109">
        <v>4918.689364673668</v>
      </c>
      <c r="L109">
        <v>27</v>
      </c>
      <c r="M109">
        <v>4921.8575114654604</v>
      </c>
      <c r="N109">
        <v>27</v>
      </c>
      <c r="O109">
        <v>4924.0450342480272</v>
      </c>
      <c r="P109" s="21">
        <v>27</v>
      </c>
      <c r="Q109" s="9">
        <f>AVERAGE(E109,G109,I109,K109,M109,O109)</f>
        <v>4918.0847879207895</v>
      </c>
    </row>
    <row r="110" spans="4:17" hidden="1" x14ac:dyDescent="0.25">
      <c r="F110" s="1"/>
      <c r="G110" s="6"/>
      <c r="P110" s="1"/>
    </row>
    <row r="111" spans="4:17" hidden="1" x14ac:dyDescent="0.25">
      <c r="F111" s="1"/>
      <c r="G111" s="6"/>
      <c r="P111" s="1"/>
    </row>
    <row r="112" spans="4:17" x14ac:dyDescent="0.25">
      <c r="D112">
        <v>28</v>
      </c>
      <c r="E112">
        <v>4794.8671566508137</v>
      </c>
      <c r="F112" s="21">
        <v>28</v>
      </c>
      <c r="G112" s="24">
        <v>4783.9012546306885</v>
      </c>
      <c r="H112">
        <v>28</v>
      </c>
      <c r="I112">
        <v>4783.755742690505</v>
      </c>
      <c r="J112">
        <v>28</v>
      </c>
      <c r="K112">
        <v>4789.3176025533421</v>
      </c>
      <c r="L112">
        <v>28</v>
      </c>
      <c r="M112">
        <v>4786.4959472461696</v>
      </c>
      <c r="N112">
        <v>28</v>
      </c>
      <c r="O112">
        <v>4786.4197644600426</v>
      </c>
      <c r="P112" s="21">
        <v>28</v>
      </c>
      <c r="Q112" s="9">
        <f>AVERAGE(E112,G112,I112,K112,M112,O112)</f>
        <v>4787.4595780385944</v>
      </c>
    </row>
    <row r="113" spans="4:17" hidden="1" x14ac:dyDescent="0.25">
      <c r="F113" s="1"/>
      <c r="G113" s="6"/>
      <c r="P113" s="1"/>
    </row>
    <row r="114" spans="4:17" x14ac:dyDescent="0.25">
      <c r="D114">
        <v>29</v>
      </c>
      <c r="E114">
        <v>4847.9279280367573</v>
      </c>
      <c r="F114" s="21">
        <v>29</v>
      </c>
      <c r="G114" s="24">
        <v>4835.0171159600895</v>
      </c>
      <c r="H114">
        <v>29</v>
      </c>
      <c r="I114">
        <v>4838.9200802370233</v>
      </c>
      <c r="J114">
        <v>29</v>
      </c>
      <c r="K114">
        <v>4844.653233429126</v>
      </c>
      <c r="L114">
        <v>29</v>
      </c>
      <c r="M114">
        <v>4846.6399076405305</v>
      </c>
      <c r="N114">
        <v>29</v>
      </c>
      <c r="O114">
        <v>4847.0889732373716</v>
      </c>
      <c r="P114" s="21">
        <v>29</v>
      </c>
      <c r="Q114" s="9">
        <f>AVERAGE(E114,G114,I114,K114,M114,O114)</f>
        <v>4843.3745397568155</v>
      </c>
    </row>
    <row r="115" spans="4:17" hidden="1" x14ac:dyDescent="0.25">
      <c r="F115" s="1"/>
      <c r="G115" s="6"/>
      <c r="P115" s="1"/>
    </row>
    <row r="116" spans="4:17" hidden="1" x14ac:dyDescent="0.25">
      <c r="F116" s="1"/>
      <c r="G116" s="6"/>
      <c r="P116" s="1"/>
    </row>
    <row r="117" spans="4:17" x14ac:dyDescent="0.25">
      <c r="D117">
        <v>30</v>
      </c>
      <c r="E117">
        <v>4853.5637918245548</v>
      </c>
      <c r="F117" s="21">
        <v>30</v>
      </c>
      <c r="G117" s="24">
        <v>4842.1444342717641</v>
      </c>
      <c r="H117">
        <v>30</v>
      </c>
      <c r="I117">
        <v>4846.4176453633754</v>
      </c>
      <c r="J117">
        <v>30</v>
      </c>
      <c r="K117">
        <v>4850.7055102023514</v>
      </c>
      <c r="L117">
        <v>30</v>
      </c>
      <c r="M117">
        <v>4852.1461837610095</v>
      </c>
      <c r="N117">
        <v>30</v>
      </c>
      <c r="O117">
        <v>4852.5673899866915</v>
      </c>
      <c r="P117" s="21">
        <v>30</v>
      </c>
      <c r="Q117" s="9">
        <f>AVERAGE(E117,G117,I117,K117,M117,O117)</f>
        <v>4849.5908259016242</v>
      </c>
    </row>
    <row r="118" spans="4:17" hidden="1" x14ac:dyDescent="0.25">
      <c r="F118" s="3"/>
      <c r="G118" s="2"/>
      <c r="P118" s="3"/>
    </row>
    <row r="119" spans="4:17" hidden="1" x14ac:dyDescent="0.25">
      <c r="F119" s="4"/>
      <c r="G119" s="5"/>
      <c r="P119" s="4"/>
    </row>
    <row r="120" spans="4:17" hidden="1" x14ac:dyDescent="0.25">
      <c r="F120" s="4"/>
      <c r="G120" s="5"/>
      <c r="P120" s="4"/>
    </row>
    <row r="121" spans="4:17" hidden="1" x14ac:dyDescent="0.25">
      <c r="F121" s="4"/>
      <c r="G121" s="5"/>
      <c r="P121" s="4"/>
    </row>
    <row r="122" spans="4:17" x14ac:dyDescent="0.25">
      <c r="D122">
        <v>31</v>
      </c>
      <c r="E122">
        <v>4847.2707514220556</v>
      </c>
      <c r="F122" s="21">
        <v>31</v>
      </c>
      <c r="G122" s="24">
        <v>4836.7452211710452</v>
      </c>
      <c r="H122">
        <v>31</v>
      </c>
      <c r="I122">
        <v>4841.7786212625997</v>
      </c>
      <c r="J122">
        <v>31</v>
      </c>
      <c r="K122">
        <v>4847.0272182803083</v>
      </c>
      <c r="L122">
        <v>31</v>
      </c>
      <c r="M122">
        <v>4846.8845998321503</v>
      </c>
      <c r="N122">
        <v>31</v>
      </c>
      <c r="O122">
        <v>4847.7657519730765</v>
      </c>
      <c r="P122" s="21">
        <v>31</v>
      </c>
      <c r="Q122" s="9">
        <f>AVERAGE(E122,G122,I122,K122,M122,O122)</f>
        <v>4844.5786939902064</v>
      </c>
    </row>
    <row r="123" spans="4:17" hidden="1" x14ac:dyDescent="0.25">
      <c r="F123" s="1"/>
      <c r="G123" s="6"/>
      <c r="P123" s="1"/>
    </row>
    <row r="124" spans="4:17" hidden="1" x14ac:dyDescent="0.25">
      <c r="F124" s="1"/>
      <c r="G124" s="6"/>
      <c r="P124" s="1"/>
    </row>
    <row r="125" spans="4:17" x14ac:dyDescent="0.25">
      <c r="D125">
        <v>32</v>
      </c>
      <c r="E125">
        <v>4849.7653092495102</v>
      </c>
      <c r="F125" s="21">
        <v>32</v>
      </c>
      <c r="G125" s="24">
        <v>4837.6330487101895</v>
      </c>
      <c r="H125">
        <v>32</v>
      </c>
      <c r="I125">
        <v>4841.2018056509241</v>
      </c>
      <c r="J125">
        <v>32</v>
      </c>
      <c r="K125">
        <v>4846.2787903834251</v>
      </c>
      <c r="L125">
        <v>32</v>
      </c>
      <c r="M125">
        <v>4848.0290179971689</v>
      </c>
      <c r="N125">
        <v>32</v>
      </c>
      <c r="O125">
        <v>4847.8546164899162</v>
      </c>
      <c r="P125" s="21">
        <v>32</v>
      </c>
      <c r="Q125" s="9">
        <f t="shared" ref="Q125:Q126" si="3">AVERAGE(E125,G125,I125,K125,M125,O125)</f>
        <v>4845.1270980801892</v>
      </c>
    </row>
    <row r="126" spans="4:17" x14ac:dyDescent="0.25">
      <c r="D126">
        <v>33</v>
      </c>
      <c r="E126">
        <v>4760.7148584725719</v>
      </c>
      <c r="F126" s="21">
        <v>33</v>
      </c>
      <c r="G126" s="24">
        <v>4751.5210029839864</v>
      </c>
      <c r="H126">
        <v>33</v>
      </c>
      <c r="I126">
        <v>4750.1275357527356</v>
      </c>
      <c r="J126">
        <v>33</v>
      </c>
      <c r="K126">
        <v>4755.2652174834484</v>
      </c>
      <c r="L126">
        <v>33</v>
      </c>
      <c r="M126">
        <v>4747.9240545764351</v>
      </c>
      <c r="N126">
        <v>33</v>
      </c>
      <c r="O126">
        <v>4747.9475547417414</v>
      </c>
      <c r="P126" s="21">
        <v>33</v>
      </c>
      <c r="Q126" s="9">
        <f t="shared" si="3"/>
        <v>4752.2500373351531</v>
      </c>
    </row>
    <row r="127" spans="4:17" hidden="1" x14ac:dyDescent="0.25">
      <c r="F127" s="1"/>
      <c r="G127" s="6"/>
      <c r="P127" s="1"/>
    </row>
    <row r="128" spans="4:17" x14ac:dyDescent="0.25">
      <c r="D128">
        <v>34</v>
      </c>
      <c r="E128">
        <v>4833.8271900935042</v>
      </c>
      <c r="F128" s="21">
        <v>34</v>
      </c>
      <c r="G128" s="24">
        <v>4819.535235412799</v>
      </c>
      <c r="H128">
        <v>34</v>
      </c>
      <c r="I128">
        <v>4823.4528426286206</v>
      </c>
      <c r="J128">
        <v>34</v>
      </c>
      <c r="K128">
        <v>4829.4131267855173</v>
      </c>
      <c r="L128">
        <v>34</v>
      </c>
      <c r="M128">
        <v>4830.9383300272111</v>
      </c>
      <c r="N128">
        <v>34</v>
      </c>
      <c r="O128">
        <v>4831.4682953553238</v>
      </c>
      <c r="P128" s="21">
        <v>34</v>
      </c>
      <c r="Q128" s="9">
        <f>AVERAGE(E128,G128,I128,K128,M128,O128)</f>
        <v>4828.1058367171627</v>
      </c>
    </row>
    <row r="129" spans="4:17" hidden="1" x14ac:dyDescent="0.25">
      <c r="F129" s="1"/>
      <c r="G129" s="6"/>
      <c r="P129" s="1"/>
    </row>
    <row r="130" spans="4:17" hidden="1" x14ac:dyDescent="0.25">
      <c r="F130" s="1"/>
      <c r="G130" s="6"/>
      <c r="P130" s="1"/>
    </row>
    <row r="131" spans="4:17" hidden="1" x14ac:dyDescent="0.25">
      <c r="F131" s="1"/>
      <c r="G131" s="6"/>
      <c r="P131" s="1"/>
    </row>
    <row r="132" spans="4:17" x14ac:dyDescent="0.25">
      <c r="D132">
        <v>35</v>
      </c>
      <c r="E132">
        <v>4909.3883512202983</v>
      </c>
      <c r="F132" s="21">
        <v>35</v>
      </c>
      <c r="G132" s="24">
        <v>4896.8404245398979</v>
      </c>
      <c r="H132">
        <v>35</v>
      </c>
      <c r="I132">
        <v>4903.8695463831882</v>
      </c>
      <c r="J132">
        <v>35</v>
      </c>
      <c r="K132">
        <v>4907.7993559421175</v>
      </c>
      <c r="L132">
        <v>35</v>
      </c>
      <c r="M132">
        <v>4910.211652806388</v>
      </c>
      <c r="N132">
        <v>35</v>
      </c>
      <c r="O132">
        <v>4911.9150303485003</v>
      </c>
      <c r="P132" s="21">
        <v>35</v>
      </c>
      <c r="Q132" s="9">
        <f>AVERAGE(E132,G132,I132,K132,M132,O132)</f>
        <v>4906.6707268733981</v>
      </c>
    </row>
    <row r="133" spans="4:17" hidden="1" x14ac:dyDescent="0.25">
      <c r="F133" s="1"/>
      <c r="G133" s="6"/>
      <c r="P133" s="1"/>
    </row>
    <row r="134" spans="4:17" hidden="1" x14ac:dyDescent="0.25">
      <c r="F134" s="1"/>
      <c r="G134" s="6"/>
      <c r="P134" s="1"/>
    </row>
    <row r="135" spans="4:17" x14ac:dyDescent="0.25">
      <c r="D135">
        <v>36</v>
      </c>
      <c r="E135">
        <v>4767.5094313471172</v>
      </c>
      <c r="F135" s="21">
        <v>36</v>
      </c>
      <c r="G135" s="24">
        <v>4756.4184810067563</v>
      </c>
      <c r="H135">
        <v>36</v>
      </c>
      <c r="I135">
        <v>4756.1895231979524</v>
      </c>
      <c r="J135">
        <v>36</v>
      </c>
      <c r="K135">
        <v>4763.3261548112541</v>
      </c>
      <c r="L135">
        <v>36</v>
      </c>
      <c r="M135">
        <v>4756.7836387257021</v>
      </c>
      <c r="N135">
        <v>36</v>
      </c>
      <c r="O135">
        <v>4757.4557808380587</v>
      </c>
      <c r="P135" s="21">
        <v>36</v>
      </c>
      <c r="Q135" s="9">
        <f>AVERAGE(E135,G135,I135,K135,M135,O135)</f>
        <v>4759.6138349878065</v>
      </c>
    </row>
    <row r="136" spans="4:17" hidden="1" x14ac:dyDescent="0.25">
      <c r="F136" s="1"/>
      <c r="G136" s="6"/>
      <c r="P136" s="1"/>
    </row>
    <row r="137" spans="4:17" hidden="1" x14ac:dyDescent="0.25">
      <c r="F137" s="1"/>
      <c r="G137" s="6"/>
      <c r="P137" s="1"/>
    </row>
    <row r="138" spans="4:17" hidden="1" x14ac:dyDescent="0.25">
      <c r="F138" s="1"/>
      <c r="G138" s="6"/>
      <c r="P138" s="1"/>
    </row>
    <row r="139" spans="4:17" x14ac:dyDescent="0.25">
      <c r="D139">
        <v>37</v>
      </c>
      <c r="E139">
        <v>4892.8383997524652</v>
      </c>
      <c r="F139" s="21">
        <v>37</v>
      </c>
      <c r="G139" s="24">
        <v>4880.28692195858</v>
      </c>
      <c r="H139">
        <v>37</v>
      </c>
      <c r="I139">
        <v>4886.0990783126927</v>
      </c>
      <c r="J139">
        <v>37</v>
      </c>
      <c r="K139">
        <v>4890.68052207048</v>
      </c>
      <c r="L139">
        <v>37</v>
      </c>
      <c r="M139">
        <v>4893.5501038461207</v>
      </c>
      <c r="N139">
        <v>37</v>
      </c>
      <c r="O139">
        <v>4895.7450891381186</v>
      </c>
      <c r="P139" s="21">
        <v>37</v>
      </c>
      <c r="Q139" s="9">
        <f>AVERAGE(E139,G139,I139,K139,M139,O139)</f>
        <v>4889.8666858464103</v>
      </c>
    </row>
    <row r="140" spans="4:17" hidden="1" x14ac:dyDescent="0.25">
      <c r="F140" s="1"/>
      <c r="G140" s="6"/>
      <c r="P140" s="1"/>
    </row>
    <row r="141" spans="4:17" hidden="1" x14ac:dyDescent="0.25">
      <c r="F141" s="1"/>
      <c r="G141" s="6"/>
      <c r="P141" s="1"/>
    </row>
    <row r="142" spans="4:17" x14ac:dyDescent="0.25">
      <c r="D142">
        <v>38</v>
      </c>
      <c r="E142">
        <v>4758.7129922094209</v>
      </c>
      <c r="F142" s="21">
        <v>38</v>
      </c>
      <c r="G142" s="24">
        <v>4748.2735200868065</v>
      </c>
      <c r="H142">
        <v>38</v>
      </c>
      <c r="I142">
        <v>4748.0170252536809</v>
      </c>
      <c r="J142">
        <v>38</v>
      </c>
      <c r="K142">
        <v>4752.7506290107904</v>
      </c>
      <c r="L142">
        <v>38</v>
      </c>
      <c r="M142">
        <v>4748.0628538185701</v>
      </c>
      <c r="N142">
        <v>38</v>
      </c>
      <c r="O142">
        <v>4748.9309753905891</v>
      </c>
      <c r="P142" s="21">
        <v>38</v>
      </c>
      <c r="Q142" s="9">
        <f>AVERAGE(E142,G142,I142,K142,M142,O142)</f>
        <v>4750.7913326283096</v>
      </c>
    </row>
    <row r="143" spans="4:17" hidden="1" x14ac:dyDescent="0.25">
      <c r="F143" s="1"/>
      <c r="G143" s="6"/>
      <c r="P143" s="1"/>
    </row>
    <row r="144" spans="4:17" x14ac:dyDescent="0.25">
      <c r="D144">
        <v>39</v>
      </c>
      <c r="E144">
        <v>4817.038210286275</v>
      </c>
      <c r="F144" s="21">
        <v>39</v>
      </c>
      <c r="G144" s="24">
        <v>4804.6729171435109</v>
      </c>
      <c r="H144">
        <v>39</v>
      </c>
      <c r="I144">
        <v>4808.6448119325551</v>
      </c>
      <c r="J144">
        <v>39</v>
      </c>
      <c r="K144">
        <v>4814.2695590990397</v>
      </c>
      <c r="L144">
        <v>39</v>
      </c>
      <c r="M144">
        <v>4814.4628222408728</v>
      </c>
      <c r="N144">
        <v>39</v>
      </c>
      <c r="O144">
        <v>4815.2942547663242</v>
      </c>
      <c r="P144" s="21">
        <v>39</v>
      </c>
      <c r="Q144" s="9">
        <f>AVERAGE(E144,G144,I144,K144,M144,O144)</f>
        <v>4812.3970959114295</v>
      </c>
    </row>
    <row r="145" spans="4:17" hidden="1" x14ac:dyDescent="0.25">
      <c r="F145" s="1"/>
      <c r="G145" s="6"/>
      <c r="P145" s="1"/>
    </row>
    <row r="146" spans="4:17" hidden="1" x14ac:dyDescent="0.25">
      <c r="F146" s="1"/>
      <c r="G146" s="6"/>
      <c r="P146" s="1"/>
    </row>
    <row r="147" spans="4:17" x14ac:dyDescent="0.25">
      <c r="D147">
        <v>40</v>
      </c>
      <c r="E147">
        <v>4823.7304635775636</v>
      </c>
      <c r="F147" s="21">
        <v>40</v>
      </c>
      <c r="G147" s="24">
        <v>4812.5810610106564</v>
      </c>
      <c r="H147">
        <v>40</v>
      </c>
      <c r="I147">
        <v>4816.513518433746</v>
      </c>
      <c r="J147">
        <v>40</v>
      </c>
      <c r="K147">
        <v>4821.6080896128442</v>
      </c>
      <c r="L147">
        <v>40</v>
      </c>
      <c r="M147">
        <v>4821.2091850834586</v>
      </c>
      <c r="N147">
        <v>40</v>
      </c>
      <c r="O147">
        <v>4821.491872451531</v>
      </c>
      <c r="P147" s="21">
        <v>40</v>
      </c>
      <c r="Q147" s="9">
        <f>AVERAGE(E147,G147,I147,K147,M147,O147)</f>
        <v>4819.5223650282996</v>
      </c>
    </row>
    <row r="148" spans="4:17" hidden="1" x14ac:dyDescent="0.25">
      <c r="F148" s="3"/>
      <c r="G148" s="2"/>
      <c r="P148" s="3"/>
    </row>
    <row r="149" spans="4:17" hidden="1" x14ac:dyDescent="0.25">
      <c r="F149" s="4"/>
      <c r="G149" s="5"/>
      <c r="P149" s="4"/>
    </row>
    <row r="150" spans="4:17" hidden="1" x14ac:dyDescent="0.25">
      <c r="F150" s="4"/>
      <c r="G150" s="5"/>
      <c r="P150" s="4"/>
    </row>
    <row r="151" spans="4:17" hidden="1" x14ac:dyDescent="0.25">
      <c r="F151" s="4"/>
      <c r="G151" s="5"/>
      <c r="P151" s="4"/>
    </row>
    <row r="152" spans="4:17" x14ac:dyDescent="0.25">
      <c r="D152">
        <v>41</v>
      </c>
      <c r="E152">
        <v>4818.8464236667423</v>
      </c>
      <c r="F152" s="21">
        <v>41</v>
      </c>
      <c r="G152" s="24">
        <v>4806.6310101472491</v>
      </c>
      <c r="H152">
        <v>41</v>
      </c>
      <c r="I152">
        <v>4811.2258157218794</v>
      </c>
      <c r="J152">
        <v>41</v>
      </c>
      <c r="K152">
        <v>4814.8270421657644</v>
      </c>
      <c r="L152">
        <v>41</v>
      </c>
      <c r="M152">
        <v>4814.5009488144578</v>
      </c>
      <c r="N152">
        <v>41</v>
      </c>
      <c r="O152">
        <v>4816.1815058535303</v>
      </c>
      <c r="P152" s="21">
        <v>41</v>
      </c>
      <c r="Q152" s="9">
        <f>AVERAGE(E152,G152,I152,K152,M152,O152)</f>
        <v>4813.7021243949375</v>
      </c>
    </row>
    <row r="153" spans="4:17" hidden="1" x14ac:dyDescent="0.25">
      <c r="F153" s="1"/>
      <c r="G153" s="6"/>
      <c r="P153" s="1"/>
    </row>
    <row r="154" spans="4:17" hidden="1" x14ac:dyDescent="0.25">
      <c r="F154" s="1"/>
      <c r="G154" s="6"/>
      <c r="P154" s="1"/>
    </row>
    <row r="155" spans="4:17" x14ac:dyDescent="0.25">
      <c r="D155">
        <v>42</v>
      </c>
      <c r="E155">
        <v>4818.5830453192948</v>
      </c>
      <c r="F155" s="21">
        <v>42</v>
      </c>
      <c r="G155" s="24">
        <v>4807.0923268312945</v>
      </c>
      <c r="H155">
        <v>42</v>
      </c>
      <c r="I155">
        <v>4811.4531459016807</v>
      </c>
      <c r="J155">
        <v>42</v>
      </c>
      <c r="K155">
        <v>4815.3222601578464</v>
      </c>
      <c r="L155">
        <v>42</v>
      </c>
      <c r="M155">
        <v>4815.3532620397918</v>
      </c>
      <c r="N155">
        <v>42</v>
      </c>
      <c r="O155">
        <v>4816.0606980578659</v>
      </c>
      <c r="P155" s="21">
        <v>42</v>
      </c>
      <c r="Q155" s="9">
        <f t="shared" ref="Q155:Q156" si="4">AVERAGE(E155,G155,I155,K155,M155,O155)</f>
        <v>4813.9774563846286</v>
      </c>
    </row>
    <row r="156" spans="4:17" x14ac:dyDescent="0.25">
      <c r="D156">
        <v>43</v>
      </c>
      <c r="E156">
        <v>4723.7834267948429</v>
      </c>
      <c r="F156" s="21">
        <v>43</v>
      </c>
      <c r="G156" s="24">
        <v>4714.4552300297564</v>
      </c>
      <c r="H156">
        <v>43</v>
      </c>
      <c r="I156">
        <v>4712.6073325958141</v>
      </c>
      <c r="J156">
        <v>43</v>
      </c>
      <c r="K156">
        <v>4718.9102953892316</v>
      </c>
      <c r="L156">
        <v>43</v>
      </c>
      <c r="M156">
        <v>4708.1617678848452</v>
      </c>
      <c r="N156">
        <v>43</v>
      </c>
      <c r="O156">
        <v>4709.6070250841367</v>
      </c>
      <c r="P156" s="21">
        <v>43</v>
      </c>
      <c r="Q156" s="9">
        <f t="shared" si="4"/>
        <v>4714.5875129631049</v>
      </c>
    </row>
    <row r="157" spans="4:17" hidden="1" x14ac:dyDescent="0.25">
      <c r="F157" s="1"/>
      <c r="G157" s="6"/>
      <c r="P157" s="1"/>
    </row>
    <row r="158" spans="4:17" x14ac:dyDescent="0.25">
      <c r="D158">
        <v>44</v>
      </c>
      <c r="E158">
        <v>4803.5817256258315</v>
      </c>
      <c r="F158" s="21">
        <v>44</v>
      </c>
      <c r="G158" s="24">
        <v>4790.1550081381447</v>
      </c>
      <c r="H158">
        <v>44</v>
      </c>
      <c r="I158">
        <v>4794.5130352313872</v>
      </c>
      <c r="J158">
        <v>44</v>
      </c>
      <c r="K158">
        <v>4799.4401263531781</v>
      </c>
      <c r="L158">
        <v>44</v>
      </c>
      <c r="M158">
        <v>4798.2022271814049</v>
      </c>
      <c r="N158">
        <v>44</v>
      </c>
      <c r="O158">
        <v>4799.9534926205679</v>
      </c>
      <c r="P158" s="21">
        <v>44</v>
      </c>
      <c r="Q158" s="9">
        <f>AVERAGE(E158,G158,I158,K158,M158,O158)</f>
        <v>4797.6409358584197</v>
      </c>
    </row>
    <row r="159" spans="4:17" hidden="1" x14ac:dyDescent="0.25">
      <c r="F159" s="1"/>
      <c r="G159" s="6"/>
      <c r="P159" s="1"/>
    </row>
    <row r="160" spans="4:17" hidden="1" x14ac:dyDescent="0.25">
      <c r="F160" s="1"/>
      <c r="G160" s="6"/>
      <c r="P160" s="1"/>
    </row>
    <row r="161" spans="4:17" hidden="1" x14ac:dyDescent="0.25">
      <c r="F161" s="1"/>
      <c r="G161" s="6"/>
      <c r="P161" s="1"/>
    </row>
    <row r="162" spans="4:17" x14ac:dyDescent="0.25">
      <c r="D162">
        <v>45</v>
      </c>
      <c r="E162">
        <v>4880.9131814636785</v>
      </c>
      <c r="F162" s="21">
        <v>45</v>
      </c>
      <c r="G162" s="24">
        <v>4870.3219863431759</v>
      </c>
      <c r="H162">
        <v>45</v>
      </c>
      <c r="I162">
        <v>4877.5943283063334</v>
      </c>
      <c r="J162">
        <v>45</v>
      </c>
      <c r="K162">
        <v>4880.2690794995051</v>
      </c>
      <c r="L162">
        <v>45</v>
      </c>
      <c r="M162">
        <v>4882.367060434206</v>
      </c>
      <c r="N162">
        <v>45</v>
      </c>
      <c r="O162">
        <v>4884.7672872002231</v>
      </c>
      <c r="P162" s="21">
        <v>45</v>
      </c>
      <c r="Q162" s="9">
        <f>AVERAGE(E162,G162,I162,K162,M162,O162)</f>
        <v>4879.3721538745203</v>
      </c>
    </row>
    <row r="163" spans="4:17" hidden="1" x14ac:dyDescent="0.25">
      <c r="F163" s="1"/>
      <c r="G163" s="6"/>
      <c r="P163" s="1"/>
    </row>
    <row r="164" spans="4:17" hidden="1" x14ac:dyDescent="0.25">
      <c r="F164" s="1"/>
      <c r="G164" s="6"/>
      <c r="P164" s="1"/>
    </row>
    <row r="165" spans="4:17" x14ac:dyDescent="0.25">
      <c r="D165">
        <v>46</v>
      </c>
      <c r="E165">
        <v>4731.6786727617982</v>
      </c>
      <c r="F165" s="21">
        <v>46</v>
      </c>
      <c r="G165" s="24">
        <v>4721.979538287429</v>
      </c>
      <c r="H165">
        <v>46</v>
      </c>
      <c r="I165">
        <v>4721.0351114332461</v>
      </c>
      <c r="J165">
        <v>46</v>
      </c>
      <c r="K165">
        <v>4727.1614129006548</v>
      </c>
      <c r="L165">
        <v>46</v>
      </c>
      <c r="M165">
        <v>4717.4417075693218</v>
      </c>
      <c r="N165">
        <v>46</v>
      </c>
      <c r="O165">
        <v>4717.8603907581191</v>
      </c>
      <c r="P165" s="21">
        <v>46</v>
      </c>
      <c r="Q165" s="9">
        <f>AVERAGE(E165,G165,I165,K165,M165,O165)</f>
        <v>4722.8594722850949</v>
      </c>
    </row>
    <row r="166" spans="4:17" hidden="1" x14ac:dyDescent="0.25">
      <c r="F166" s="1"/>
      <c r="G166" s="6"/>
      <c r="P166" s="1"/>
    </row>
    <row r="167" spans="4:17" hidden="1" x14ac:dyDescent="0.25">
      <c r="F167" s="1"/>
      <c r="G167" s="6"/>
      <c r="P167" s="1"/>
    </row>
    <row r="168" spans="4:17" hidden="1" x14ac:dyDescent="0.25">
      <c r="F168" s="1"/>
      <c r="G168" s="6"/>
      <c r="P168" s="1"/>
    </row>
    <row r="169" spans="4:17" x14ac:dyDescent="0.25">
      <c r="D169">
        <v>47</v>
      </c>
      <c r="E169">
        <v>4866.6931970194046</v>
      </c>
      <c r="F169" s="21">
        <v>47</v>
      </c>
      <c r="G169" s="24">
        <v>4854.3808314895341</v>
      </c>
      <c r="H169">
        <v>47</v>
      </c>
      <c r="I169">
        <v>4860.7020038062783</v>
      </c>
      <c r="J169">
        <v>47</v>
      </c>
      <c r="K169">
        <v>4864.0820074938747</v>
      </c>
      <c r="L169">
        <v>47</v>
      </c>
      <c r="M169">
        <v>4867.2158986292307</v>
      </c>
      <c r="N169">
        <v>47</v>
      </c>
      <c r="O169">
        <v>4868.8506247721734</v>
      </c>
      <c r="P169" s="21">
        <v>47</v>
      </c>
      <c r="Q169" s="9">
        <f>AVERAGE(E169,G169,I169,K169,M169,O169)</f>
        <v>4863.6540938684166</v>
      </c>
    </row>
    <row r="170" spans="4:17" hidden="1" x14ac:dyDescent="0.25">
      <c r="F170" s="1"/>
      <c r="G170" s="6"/>
      <c r="P170" s="1"/>
    </row>
    <row r="171" spans="4:17" hidden="1" x14ac:dyDescent="0.25">
      <c r="F171" s="1"/>
      <c r="G171" s="6"/>
      <c r="P171" s="1"/>
    </row>
    <row r="172" spans="4:17" x14ac:dyDescent="0.25">
      <c r="D172">
        <v>48</v>
      </c>
      <c r="E172">
        <v>4725.0219975755099</v>
      </c>
      <c r="F172" s="21">
        <v>48</v>
      </c>
      <c r="G172" s="24">
        <v>4714.288873417936</v>
      </c>
      <c r="H172">
        <v>48</v>
      </c>
      <c r="I172">
        <v>4712.082965845223</v>
      </c>
      <c r="J172">
        <v>48</v>
      </c>
      <c r="K172">
        <v>4721.0592429405842</v>
      </c>
      <c r="L172">
        <v>48</v>
      </c>
      <c r="M172">
        <v>4712.5134249722378</v>
      </c>
      <c r="N172">
        <v>48</v>
      </c>
      <c r="O172">
        <v>4709.4918980951652</v>
      </c>
      <c r="P172" s="21">
        <v>48</v>
      </c>
      <c r="Q172" s="9">
        <f>AVERAGE(E172,G172,I172,K172,M172,O172)</f>
        <v>4715.7430671411103</v>
      </c>
    </row>
    <row r="173" spans="4:17" hidden="1" x14ac:dyDescent="0.25">
      <c r="F173" s="1"/>
      <c r="G173" s="6"/>
      <c r="P173" s="1"/>
    </row>
    <row r="174" spans="4:17" x14ac:dyDescent="0.25">
      <c r="D174">
        <v>49</v>
      </c>
      <c r="E174">
        <v>4791.1976378186382</v>
      </c>
      <c r="F174" s="21">
        <v>49</v>
      </c>
      <c r="G174" s="24">
        <v>4776.1581203428195</v>
      </c>
      <c r="H174">
        <v>49</v>
      </c>
      <c r="I174">
        <v>4779.6700971914915</v>
      </c>
      <c r="J174">
        <v>49</v>
      </c>
      <c r="K174">
        <v>4783.5190731415778</v>
      </c>
      <c r="L174">
        <v>49</v>
      </c>
      <c r="M174">
        <v>4784.405542203911</v>
      </c>
      <c r="N174">
        <v>49</v>
      </c>
      <c r="O174">
        <v>4784.540590057899</v>
      </c>
      <c r="P174" s="21">
        <v>49</v>
      </c>
      <c r="Q174" s="9">
        <f>AVERAGE(E174,G174,I174,K174,M174,O174)</f>
        <v>4783.2485101260563</v>
      </c>
    </row>
    <row r="175" spans="4:17" hidden="1" x14ac:dyDescent="0.25">
      <c r="F175" s="1"/>
      <c r="G175" s="6"/>
      <c r="P175" s="1"/>
    </row>
    <row r="176" spans="4:17" hidden="1" x14ac:dyDescent="0.25">
      <c r="F176" s="1"/>
      <c r="G176" s="6"/>
      <c r="P176" s="1"/>
    </row>
    <row r="177" spans="4:17" x14ac:dyDescent="0.25">
      <c r="D177">
        <v>50</v>
      </c>
      <c r="E177">
        <v>4795.2617644939519</v>
      </c>
      <c r="F177" s="21">
        <v>50</v>
      </c>
      <c r="G177" s="24">
        <v>4783.6897762433982</v>
      </c>
      <c r="H177">
        <v>50</v>
      </c>
      <c r="I177">
        <v>4788.4760683434633</v>
      </c>
      <c r="J177">
        <v>50</v>
      </c>
      <c r="K177">
        <v>4790.949657095869</v>
      </c>
      <c r="L177">
        <v>50</v>
      </c>
      <c r="M177">
        <v>4791.2719329365991</v>
      </c>
      <c r="N177">
        <v>50</v>
      </c>
      <c r="O177">
        <v>4790.7859248238856</v>
      </c>
      <c r="P177" s="21">
        <v>50</v>
      </c>
      <c r="Q177" s="9">
        <f>AVERAGE(E177,G177,I177,K177,M177,O177)</f>
        <v>4790.0725206561956</v>
      </c>
    </row>
    <row r="178" spans="4:17" hidden="1" x14ac:dyDescent="0.25">
      <c r="F178" s="3"/>
      <c r="G178" s="2"/>
      <c r="P178" s="3"/>
    </row>
    <row r="179" spans="4:17" hidden="1" x14ac:dyDescent="0.25">
      <c r="F179" s="4"/>
      <c r="G179" s="5"/>
      <c r="P179" s="4"/>
    </row>
    <row r="180" spans="4:17" hidden="1" x14ac:dyDescent="0.25">
      <c r="F180" s="4"/>
      <c r="G180" s="5"/>
      <c r="P180" s="4"/>
    </row>
    <row r="181" spans="4:17" hidden="1" x14ac:dyDescent="0.25">
      <c r="F181" s="4"/>
      <c r="G181" s="5"/>
      <c r="P181" s="4"/>
    </row>
    <row r="182" spans="4:17" x14ac:dyDescent="0.25">
      <c r="D182">
        <v>51</v>
      </c>
      <c r="E182">
        <v>4792.0525677542955</v>
      </c>
      <c r="F182" s="21">
        <v>51</v>
      </c>
      <c r="G182" s="24">
        <v>4779.2075144324917</v>
      </c>
      <c r="H182">
        <v>51</v>
      </c>
      <c r="I182">
        <v>4783.778334520146</v>
      </c>
      <c r="J182">
        <v>51</v>
      </c>
      <c r="K182">
        <v>4786.660525334215</v>
      </c>
      <c r="L182">
        <v>51</v>
      </c>
      <c r="M182">
        <v>4785.3704746403537</v>
      </c>
      <c r="N182">
        <v>51</v>
      </c>
      <c r="O182">
        <v>4785.287591660097</v>
      </c>
      <c r="P182" s="21">
        <v>51</v>
      </c>
      <c r="Q182" s="9">
        <f>AVERAGE(E182,G182,I182,K182,M182,O182)</f>
        <v>4785.3928347235997</v>
      </c>
    </row>
    <row r="183" spans="4:17" hidden="1" x14ac:dyDescent="0.25">
      <c r="F183" s="1"/>
      <c r="G183" s="6"/>
      <c r="P183" s="1"/>
    </row>
    <row r="184" spans="4:17" hidden="1" x14ac:dyDescent="0.25">
      <c r="F184" s="1"/>
      <c r="G184" s="6"/>
      <c r="P184" s="1"/>
    </row>
    <row r="185" spans="4:17" x14ac:dyDescent="0.25">
      <c r="D185">
        <v>52</v>
      </c>
      <c r="E185">
        <v>4791.6910811017015</v>
      </c>
      <c r="F185" s="21">
        <v>52</v>
      </c>
      <c r="G185" s="24">
        <v>4780.2055790798822</v>
      </c>
      <c r="H185">
        <v>52</v>
      </c>
      <c r="I185">
        <v>4784.4513809414811</v>
      </c>
      <c r="J185">
        <v>52</v>
      </c>
      <c r="K185">
        <v>4787.6087033646145</v>
      </c>
      <c r="L185">
        <v>52</v>
      </c>
      <c r="M185">
        <v>4786.3907282368191</v>
      </c>
      <c r="N185">
        <v>52</v>
      </c>
      <c r="O185">
        <v>4786.4266339869282</v>
      </c>
      <c r="P185" s="21">
        <v>52</v>
      </c>
      <c r="Q185" s="9">
        <f t="shared" ref="Q185:Q186" si="5">AVERAGE(E185,G185,I185,K185,M185,O185)</f>
        <v>4786.1290177852379</v>
      </c>
    </row>
    <row r="186" spans="4:17" x14ac:dyDescent="0.25">
      <c r="D186">
        <v>53</v>
      </c>
      <c r="E186">
        <v>4689.3640662750186</v>
      </c>
      <c r="F186" s="21">
        <v>53</v>
      </c>
      <c r="G186" s="24">
        <v>4680.960598238431</v>
      </c>
      <c r="H186">
        <v>53</v>
      </c>
      <c r="I186">
        <v>4677.2972497732344</v>
      </c>
      <c r="J186">
        <v>53</v>
      </c>
      <c r="K186">
        <v>4684.5337495655422</v>
      </c>
      <c r="L186">
        <v>53</v>
      </c>
      <c r="M186">
        <v>4672.6752977628576</v>
      </c>
      <c r="N186">
        <v>53</v>
      </c>
      <c r="O186">
        <v>4667.2259615303101</v>
      </c>
      <c r="P186" s="21">
        <v>53</v>
      </c>
      <c r="Q186" s="9">
        <f t="shared" si="5"/>
        <v>4678.6761538575656</v>
      </c>
    </row>
    <row r="187" spans="4:17" hidden="1" x14ac:dyDescent="0.25">
      <c r="F187" s="1"/>
      <c r="G187" s="6"/>
      <c r="P187" s="1"/>
    </row>
    <row r="188" spans="4:17" x14ac:dyDescent="0.25">
      <c r="D188">
        <v>54</v>
      </c>
      <c r="E188">
        <v>4775.7518007765148</v>
      </c>
      <c r="F188" s="21">
        <v>54</v>
      </c>
      <c r="G188" s="24">
        <v>4763.2165789272913</v>
      </c>
      <c r="H188">
        <v>54</v>
      </c>
      <c r="I188">
        <v>4766.6063884438345</v>
      </c>
      <c r="J188">
        <v>54</v>
      </c>
      <c r="K188">
        <v>4770.3174595000137</v>
      </c>
      <c r="L188">
        <v>54</v>
      </c>
      <c r="M188">
        <v>4770.2842255622518</v>
      </c>
      <c r="N188">
        <v>54</v>
      </c>
      <c r="O188">
        <v>4769.1898584725723</v>
      </c>
      <c r="P188" s="21">
        <v>54</v>
      </c>
      <c r="Q188" s="9">
        <f>AVERAGE(E188,G188,I188,K188,M188,O188)</f>
        <v>4769.2277186137462</v>
      </c>
    </row>
    <row r="189" spans="4:17" hidden="1" x14ac:dyDescent="0.25">
      <c r="F189" s="1"/>
      <c r="G189" s="6"/>
      <c r="P189" s="1"/>
    </row>
    <row r="190" spans="4:17" hidden="1" x14ac:dyDescent="0.25">
      <c r="F190" s="1"/>
      <c r="G190" s="6"/>
      <c r="P190" s="1"/>
    </row>
    <row r="191" spans="4:17" hidden="1" x14ac:dyDescent="0.25">
      <c r="F191" s="1"/>
      <c r="G191" s="6"/>
      <c r="P191" s="1"/>
    </row>
    <row r="192" spans="4:17" x14ac:dyDescent="0.25">
      <c r="D192">
        <v>55</v>
      </c>
      <c r="E192">
        <v>4856.8430618075154</v>
      </c>
      <c r="F192" s="21">
        <v>55</v>
      </c>
      <c r="G192" s="24">
        <v>4844.8021248187979</v>
      </c>
      <c r="H192">
        <v>55</v>
      </c>
      <c r="I192">
        <v>4852.6694755982808</v>
      </c>
      <c r="J192">
        <v>55</v>
      </c>
      <c r="K192">
        <v>4854.5488011071275</v>
      </c>
      <c r="L192">
        <v>55</v>
      </c>
      <c r="M192">
        <v>4856.6861806244342</v>
      </c>
      <c r="N192">
        <v>55</v>
      </c>
      <c r="O192">
        <v>4858.3955009197807</v>
      </c>
      <c r="P192" s="21">
        <v>55</v>
      </c>
      <c r="Q192" s="9">
        <f>AVERAGE(E192,G192,I192,K192,M192,O192)</f>
        <v>4853.9908574793226</v>
      </c>
    </row>
    <row r="193" spans="4:17" hidden="1" x14ac:dyDescent="0.25">
      <c r="F193" s="1"/>
      <c r="G193" s="6"/>
      <c r="P193" s="1"/>
    </row>
    <row r="194" spans="4:17" hidden="1" x14ac:dyDescent="0.25">
      <c r="F194" s="1"/>
      <c r="G194" s="6"/>
      <c r="P194" s="1"/>
    </row>
    <row r="195" spans="4:17" x14ac:dyDescent="0.25">
      <c r="D195">
        <v>56</v>
      </c>
      <c r="E195">
        <v>4699.5738960521521</v>
      </c>
      <c r="F195" s="21">
        <v>56</v>
      </c>
      <c r="G195" s="24">
        <v>4689.3863584344235</v>
      </c>
      <c r="H195">
        <v>56</v>
      </c>
      <c r="I195">
        <v>4693.7470340276195</v>
      </c>
      <c r="J195">
        <v>56</v>
      </c>
      <c r="K195">
        <v>4703.242013385553</v>
      </c>
      <c r="L195">
        <v>56</v>
      </c>
      <c r="M195">
        <v>4684.5287337978862</v>
      </c>
      <c r="N195">
        <v>56</v>
      </c>
      <c r="O195">
        <v>4681.5426214151885</v>
      </c>
      <c r="P195" s="21">
        <v>56</v>
      </c>
      <c r="Q195" s="9">
        <f>AVERAGE(E195,G195,I195,K195,M195,O195)</f>
        <v>4692.0034428521367</v>
      </c>
    </row>
    <row r="196" spans="4:17" hidden="1" x14ac:dyDescent="0.25">
      <c r="F196" s="1"/>
      <c r="G196" s="6"/>
      <c r="P196" s="1"/>
    </row>
    <row r="197" spans="4:17" hidden="1" x14ac:dyDescent="0.25">
      <c r="F197" s="1"/>
      <c r="G197" s="6"/>
      <c r="P197" s="1"/>
    </row>
    <row r="198" spans="4:17" hidden="1" x14ac:dyDescent="0.25">
      <c r="F198" s="1"/>
      <c r="G198" s="6"/>
      <c r="P198" s="1"/>
    </row>
    <row r="199" spans="4:17" x14ac:dyDescent="0.25">
      <c r="D199">
        <v>57</v>
      </c>
      <c r="E199">
        <v>4841.133805939151</v>
      </c>
      <c r="F199" s="21">
        <v>57</v>
      </c>
      <c r="G199" s="24">
        <v>4828.1187537617734</v>
      </c>
      <c r="H199">
        <v>57</v>
      </c>
      <c r="I199">
        <v>4835.1005463577576</v>
      </c>
      <c r="J199">
        <v>57</v>
      </c>
      <c r="K199">
        <v>4839.1132959063425</v>
      </c>
      <c r="L199">
        <v>57</v>
      </c>
      <c r="M199">
        <v>4841.2350065274704</v>
      </c>
      <c r="N199">
        <v>57</v>
      </c>
      <c r="O199">
        <v>4842.1859511033126</v>
      </c>
      <c r="P199" s="21">
        <v>57</v>
      </c>
      <c r="Q199" s="9">
        <f>AVERAGE(E199,G199,I199,K199,M199,O199)</f>
        <v>4837.8145599326344</v>
      </c>
    </row>
    <row r="200" spans="4:17" hidden="1" x14ac:dyDescent="0.25">
      <c r="F200" s="1"/>
      <c r="G200" s="6"/>
      <c r="P200" s="1"/>
    </row>
    <row r="201" spans="4:17" hidden="1" x14ac:dyDescent="0.25">
      <c r="F201" s="1"/>
      <c r="G201" s="6"/>
      <c r="P201" s="1"/>
    </row>
    <row r="202" spans="4:17" x14ac:dyDescent="0.25">
      <c r="D202">
        <v>58</v>
      </c>
      <c r="E202">
        <v>4689.7426002221036</v>
      </c>
      <c r="F202" s="21">
        <v>58</v>
      </c>
      <c r="G202" s="24">
        <v>4679.3424425455441</v>
      </c>
      <c r="H202">
        <v>58</v>
      </c>
      <c r="I202">
        <v>4678.7077795579971</v>
      </c>
      <c r="J202">
        <v>58</v>
      </c>
      <c r="K202">
        <v>4682.5082487729196</v>
      </c>
      <c r="L202">
        <v>58</v>
      </c>
      <c r="M202">
        <v>4673.198023108941</v>
      </c>
      <c r="N202">
        <v>58</v>
      </c>
      <c r="O202">
        <v>4668.7461555742066</v>
      </c>
      <c r="P202" s="21">
        <v>58</v>
      </c>
      <c r="Q202" s="9">
        <f>AVERAGE(E202,G202,I202,K202,M202,O202)</f>
        <v>4678.707541630286</v>
      </c>
    </row>
    <row r="203" spans="4:17" hidden="1" x14ac:dyDescent="0.25">
      <c r="F203" s="1"/>
      <c r="G203" s="6"/>
      <c r="P203" s="1"/>
    </row>
    <row r="204" spans="4:17" x14ac:dyDescent="0.25">
      <c r="D204">
        <v>59</v>
      </c>
      <c r="E204">
        <v>4781.4624195722381</v>
      </c>
      <c r="F204" s="21">
        <v>59</v>
      </c>
      <c r="G204" s="24">
        <v>4771.901022142536</v>
      </c>
      <c r="H204">
        <v>59</v>
      </c>
      <c r="I204">
        <v>4778.9163114705452</v>
      </c>
      <c r="J204">
        <v>59</v>
      </c>
      <c r="K204">
        <v>4783.7050257284063</v>
      </c>
      <c r="L204">
        <v>59</v>
      </c>
      <c r="M204">
        <v>4778.8098638980018</v>
      </c>
      <c r="N204">
        <v>59</v>
      </c>
      <c r="O204">
        <v>4778.6982212642943</v>
      </c>
      <c r="P204" s="21">
        <v>59</v>
      </c>
      <c r="Q204" s="9">
        <f>AVERAGE(E204,G204,I204,K204,M204,O204)</f>
        <v>4778.9154773460032</v>
      </c>
    </row>
    <row r="205" spans="4:17" hidden="1" x14ac:dyDescent="0.25">
      <c r="F205" s="1"/>
      <c r="G205" s="6"/>
      <c r="P205" s="1"/>
    </row>
    <row r="206" spans="4:17" hidden="1" x14ac:dyDescent="0.25">
      <c r="F206" s="1"/>
      <c r="G206" s="6"/>
      <c r="P206" s="1"/>
    </row>
    <row r="207" spans="4:17" x14ac:dyDescent="0.25">
      <c r="D207">
        <v>60</v>
      </c>
      <c r="E207">
        <v>4805.4623879945411</v>
      </c>
      <c r="F207" s="21">
        <v>60</v>
      </c>
      <c r="G207" s="24">
        <v>4754.7714690199464</v>
      </c>
      <c r="H207">
        <v>60</v>
      </c>
      <c r="I207">
        <v>4763.1978522926674</v>
      </c>
      <c r="J207">
        <v>60</v>
      </c>
      <c r="K207">
        <v>4767.7559010028572</v>
      </c>
      <c r="L207">
        <v>60</v>
      </c>
      <c r="M207">
        <v>4768.4915630324758</v>
      </c>
      <c r="N207">
        <v>60</v>
      </c>
      <c r="O207">
        <v>4765.3045546061048</v>
      </c>
      <c r="P207" s="21">
        <v>60</v>
      </c>
      <c r="Q207" s="9">
        <f>AVERAGE(E207,G207,I207,K207,M207,O207)</f>
        <v>4770.8306213247652</v>
      </c>
    </row>
    <row r="208" spans="4:17" hidden="1" x14ac:dyDescent="0.25">
      <c r="F208" s="3"/>
      <c r="G208" s="2"/>
      <c r="P208" s="3"/>
    </row>
    <row r="209" spans="4:17" hidden="1" x14ac:dyDescent="0.25">
      <c r="F209" s="4"/>
      <c r="G209" s="5"/>
      <c r="P209" s="4"/>
    </row>
    <row r="210" spans="4:17" hidden="1" x14ac:dyDescent="0.25">
      <c r="F210" s="4"/>
      <c r="G210" s="5"/>
      <c r="P210" s="4"/>
    </row>
    <row r="211" spans="4:17" hidden="1" x14ac:dyDescent="0.25">
      <c r="F211" s="4"/>
      <c r="G211" s="5"/>
      <c r="P211" s="4"/>
    </row>
    <row r="212" spans="4:17" x14ac:dyDescent="0.25">
      <c r="D212">
        <v>61</v>
      </c>
      <c r="E212">
        <v>4760.0914579147693</v>
      </c>
      <c r="F212" s="21">
        <v>61</v>
      </c>
      <c r="G212" s="24">
        <v>4747.7908134330255</v>
      </c>
      <c r="H212">
        <v>61</v>
      </c>
      <c r="I212">
        <v>4753.55264298975</v>
      </c>
      <c r="J212">
        <v>61</v>
      </c>
      <c r="K212">
        <v>4758.001183209989</v>
      </c>
      <c r="L212">
        <v>61</v>
      </c>
      <c r="M212">
        <v>4756.3972959741604</v>
      </c>
      <c r="N212">
        <v>61</v>
      </c>
      <c r="O212">
        <v>4753.4633469816808</v>
      </c>
      <c r="P212" s="21">
        <v>61</v>
      </c>
      <c r="Q212" s="9">
        <f>AVERAGE(E212,G212,I212,K212,M212,O212)</f>
        <v>4754.882790083896</v>
      </c>
    </row>
    <row r="213" spans="4:17" hidden="1" x14ac:dyDescent="0.25">
      <c r="F213" s="1"/>
      <c r="G213" s="6"/>
      <c r="P213" s="1"/>
    </row>
    <row r="214" spans="4:17" hidden="1" x14ac:dyDescent="0.25">
      <c r="F214" s="1"/>
      <c r="G214" s="6"/>
      <c r="P214" s="1"/>
    </row>
    <row r="215" spans="4:17" x14ac:dyDescent="0.25">
      <c r="D215">
        <v>62</v>
      </c>
      <c r="E215">
        <v>4764.0916713291454</v>
      </c>
      <c r="F215" s="21">
        <v>62</v>
      </c>
      <c r="G215" s="24">
        <v>4749.6042600222099</v>
      </c>
      <c r="H215">
        <v>62</v>
      </c>
      <c r="I215">
        <v>4754.4462884548548</v>
      </c>
      <c r="J215">
        <v>62</v>
      </c>
      <c r="K215">
        <v>4759.2789556894959</v>
      </c>
      <c r="L215">
        <v>62</v>
      </c>
      <c r="M215">
        <v>4754.0243678102452</v>
      </c>
      <c r="N215">
        <v>62</v>
      </c>
      <c r="O215">
        <v>4753.786609572493</v>
      </c>
      <c r="P215" s="21">
        <v>62</v>
      </c>
      <c r="Q215" s="9">
        <f t="shared" ref="Q215:Q216" si="6">AVERAGE(E215,G215,I215,K215,M215,O215)</f>
        <v>4755.8720254797408</v>
      </c>
    </row>
    <row r="216" spans="4:17" x14ac:dyDescent="0.25">
      <c r="D216">
        <v>63</v>
      </c>
      <c r="E216">
        <v>4650.0102932699237</v>
      </c>
      <c r="F216" s="21">
        <v>63</v>
      </c>
      <c r="G216" s="24">
        <v>4640.1896952858096</v>
      </c>
      <c r="H216">
        <v>63</v>
      </c>
      <c r="I216">
        <v>4637.5754096623514</v>
      </c>
      <c r="J216">
        <v>63</v>
      </c>
      <c r="K216">
        <v>4641.415071463086</v>
      </c>
      <c r="L216">
        <v>63</v>
      </c>
      <c r="M216">
        <v>4625.2106955146965</v>
      </c>
      <c r="N216">
        <v>63</v>
      </c>
      <c r="O216">
        <v>4621.9497293642926</v>
      </c>
      <c r="P216" s="21">
        <v>63</v>
      </c>
      <c r="Q216" s="9">
        <f t="shared" si="6"/>
        <v>4636.0584824266934</v>
      </c>
    </row>
    <row r="217" spans="4:17" hidden="1" x14ac:dyDescent="0.25">
      <c r="F217" s="1"/>
      <c r="G217" s="6"/>
      <c r="P217" s="1"/>
    </row>
    <row r="218" spans="4:17" x14ac:dyDescent="0.25">
      <c r="D218">
        <v>64</v>
      </c>
      <c r="E218">
        <v>4746.5739166094454</v>
      </c>
      <c r="F218" s="21">
        <v>64</v>
      </c>
      <c r="G218" s="24">
        <v>4732.5045963564844</v>
      </c>
      <c r="H218">
        <v>64</v>
      </c>
      <c r="I218">
        <v>4736.6842331917633</v>
      </c>
      <c r="J218">
        <v>64</v>
      </c>
      <c r="K218">
        <v>4741.6975519866392</v>
      </c>
      <c r="L218">
        <v>64</v>
      </c>
      <c r="M218">
        <v>4737.3177415799864</v>
      </c>
      <c r="N218">
        <v>64</v>
      </c>
      <c r="O218">
        <v>4733.7263718284548</v>
      </c>
      <c r="P218" s="21">
        <v>64</v>
      </c>
      <c r="Q218" s="9">
        <f>AVERAGE(E218,G218,I218,K218,M218,O218)</f>
        <v>4738.0840685921294</v>
      </c>
    </row>
    <row r="219" spans="4:17" hidden="1" x14ac:dyDescent="0.25">
      <c r="F219" s="1"/>
      <c r="G219" s="6"/>
      <c r="P219" s="1"/>
    </row>
    <row r="220" spans="4:17" hidden="1" x14ac:dyDescent="0.25">
      <c r="F220" s="1"/>
      <c r="G220" s="6"/>
      <c r="P220" s="1"/>
    </row>
    <row r="221" spans="4:17" hidden="1" x14ac:dyDescent="0.25">
      <c r="F221" s="1"/>
      <c r="G221" s="6"/>
      <c r="P221" s="1"/>
    </row>
    <row r="222" spans="4:17" x14ac:dyDescent="0.25">
      <c r="D222">
        <v>65</v>
      </c>
      <c r="E222">
        <v>4831.6068519366236</v>
      </c>
      <c r="F222" s="21">
        <v>65</v>
      </c>
      <c r="G222" s="24">
        <v>4819.7739049532483</v>
      </c>
      <c r="H222">
        <v>65</v>
      </c>
      <c r="I222">
        <v>4826.5885570051632</v>
      </c>
      <c r="J222">
        <v>65</v>
      </c>
      <c r="K222">
        <v>4830.1177956223555</v>
      </c>
      <c r="L222">
        <v>65</v>
      </c>
      <c r="M222">
        <v>4830.4452025211303</v>
      </c>
      <c r="N222">
        <v>65</v>
      </c>
      <c r="O222">
        <v>4830.0692123801527</v>
      </c>
      <c r="P222" s="21">
        <v>65</v>
      </c>
      <c r="Q222" s="9">
        <f>AVERAGE(E222,G222,I222,K222,M222,O222)</f>
        <v>4828.1002540697791</v>
      </c>
    </row>
    <row r="223" spans="4:17" hidden="1" x14ac:dyDescent="0.25">
      <c r="F223" s="1"/>
      <c r="G223" s="6"/>
      <c r="P223" s="1"/>
    </row>
    <row r="224" spans="4:17" hidden="1" x14ac:dyDescent="0.25">
      <c r="F224" s="1"/>
      <c r="G224" s="6"/>
      <c r="P224" s="1"/>
    </row>
    <row r="225" spans="4:17" x14ac:dyDescent="0.25">
      <c r="D225">
        <v>66</v>
      </c>
      <c r="E225">
        <v>4662.2059075727138</v>
      </c>
      <c r="F225" s="21">
        <v>66</v>
      </c>
      <c r="G225" s="24">
        <v>4652.44199049702</v>
      </c>
      <c r="H225">
        <v>66</v>
      </c>
      <c r="I225">
        <v>4654.0293187270581</v>
      </c>
      <c r="J225">
        <v>66</v>
      </c>
      <c r="K225">
        <v>4655.9693787458773</v>
      </c>
      <c r="L225">
        <v>66</v>
      </c>
      <c r="M225">
        <v>4638.7893814162071</v>
      </c>
      <c r="N225">
        <v>66</v>
      </c>
      <c r="O225">
        <v>4633.0298688995699</v>
      </c>
      <c r="P225" s="21">
        <v>66</v>
      </c>
      <c r="Q225" s="9">
        <f>AVERAGE(E225,G225,I225,K225,M225,O225)</f>
        <v>4649.4109743097406</v>
      </c>
    </row>
    <row r="226" spans="4:17" hidden="1" x14ac:dyDescent="0.25">
      <c r="F226" s="1"/>
      <c r="G226" s="6"/>
      <c r="P226" s="1"/>
    </row>
    <row r="227" spans="4:17" hidden="1" x14ac:dyDescent="0.25">
      <c r="F227" s="1"/>
      <c r="G227" s="6"/>
      <c r="P227" s="1"/>
    </row>
    <row r="228" spans="4:17" hidden="1" x14ac:dyDescent="0.25">
      <c r="F228" s="1"/>
      <c r="G228" s="6"/>
      <c r="P228" s="1"/>
    </row>
    <row r="229" spans="4:17" x14ac:dyDescent="0.25">
      <c r="D229">
        <v>67</v>
      </c>
      <c r="E229">
        <v>4814.8617007027633</v>
      </c>
      <c r="F229" s="21">
        <v>67</v>
      </c>
      <c r="G229" s="24">
        <v>4801.8283834761742</v>
      </c>
      <c r="H229">
        <v>67</v>
      </c>
      <c r="I229">
        <v>4809.3482602595732</v>
      </c>
      <c r="J229">
        <v>67</v>
      </c>
      <c r="K229">
        <v>4813.2053145901691</v>
      </c>
      <c r="L229">
        <v>67</v>
      </c>
      <c r="M229">
        <v>4814.8701732746713</v>
      </c>
      <c r="N229">
        <v>67</v>
      </c>
      <c r="O229">
        <v>4814.9313462695927</v>
      </c>
      <c r="P229" s="21">
        <v>67</v>
      </c>
      <c r="Q229" s="9">
        <f>AVERAGE(E229,G229,I229,K229,M229,O229)</f>
        <v>4811.5075297621579</v>
      </c>
    </row>
    <row r="230" spans="4:17" hidden="1" x14ac:dyDescent="0.25">
      <c r="F230" s="1"/>
      <c r="G230" s="6"/>
      <c r="P230" s="1"/>
    </row>
    <row r="231" spans="4:17" hidden="1" x14ac:dyDescent="0.25">
      <c r="F231" s="1"/>
      <c r="G231" s="6"/>
      <c r="P231" s="1"/>
    </row>
    <row r="232" spans="4:17" x14ac:dyDescent="0.25">
      <c r="D232">
        <v>68</v>
      </c>
      <c r="E232">
        <v>4649.868037859329</v>
      </c>
      <c r="F232" s="21">
        <v>68</v>
      </c>
      <c r="G232" s="24">
        <v>4640.6838854132229</v>
      </c>
      <c r="H232">
        <v>68</v>
      </c>
      <c r="I232">
        <v>4642.0819814263796</v>
      </c>
      <c r="J232">
        <v>68</v>
      </c>
      <c r="K232">
        <v>4646.9319275959406</v>
      </c>
      <c r="L232">
        <v>68</v>
      </c>
      <c r="M232">
        <v>4634.9513661063211</v>
      </c>
      <c r="N232">
        <v>68</v>
      </c>
      <c r="O232">
        <v>4625.9865716368704</v>
      </c>
      <c r="P232" s="21">
        <v>68</v>
      </c>
      <c r="Q232" s="9">
        <f>AVERAGE(E232,G232,I232,K232,M232,O232)</f>
        <v>4640.0839616730109</v>
      </c>
    </row>
    <row r="233" spans="4:17" hidden="1" x14ac:dyDescent="0.25">
      <c r="F233" s="1"/>
      <c r="G233" s="6"/>
      <c r="P233" s="1"/>
    </row>
    <row r="234" spans="4:17" x14ac:dyDescent="0.25">
      <c r="D234">
        <v>69</v>
      </c>
      <c r="E234">
        <v>4729.5863558912524</v>
      </c>
      <c r="F234" s="21">
        <v>69</v>
      </c>
      <c r="G234" s="24">
        <v>4717.0559270703525</v>
      </c>
      <c r="H234">
        <v>69</v>
      </c>
      <c r="I234">
        <v>4722.2679821215124</v>
      </c>
      <c r="J234">
        <v>69</v>
      </c>
      <c r="K234">
        <v>4727.1781126285359</v>
      </c>
      <c r="L234">
        <v>69</v>
      </c>
      <c r="M234">
        <v>4717.1030259488152</v>
      </c>
      <c r="N234">
        <v>69</v>
      </c>
      <c r="O234">
        <v>4716.560927790918</v>
      </c>
      <c r="P234" s="21">
        <v>69</v>
      </c>
      <c r="Q234" s="9">
        <f>AVERAGE(E234,G234,I234,K234,M234,O234)</f>
        <v>4721.6253885752312</v>
      </c>
    </row>
    <row r="235" spans="4:17" hidden="1" x14ac:dyDescent="0.25">
      <c r="F235" s="1"/>
      <c r="G235" s="6"/>
      <c r="P235" s="1"/>
    </row>
    <row r="236" spans="4:17" hidden="1" x14ac:dyDescent="0.25">
      <c r="F236" s="1"/>
      <c r="G236" s="6"/>
      <c r="P236" s="1"/>
    </row>
    <row r="237" spans="4:17" x14ac:dyDescent="0.25">
      <c r="D237">
        <v>70</v>
      </c>
      <c r="E237">
        <v>4735.5781346693457</v>
      </c>
      <c r="F237" s="21">
        <v>70</v>
      </c>
      <c r="G237" s="24">
        <v>4724.0857266685325</v>
      </c>
      <c r="H237">
        <v>70</v>
      </c>
      <c r="I237">
        <v>4729.4943052058688</v>
      </c>
      <c r="J237">
        <v>70</v>
      </c>
      <c r="K237">
        <v>4732.8335558607359</v>
      </c>
      <c r="L237">
        <v>70</v>
      </c>
      <c r="M237">
        <v>4723.4409174910779</v>
      </c>
      <c r="N237">
        <v>70</v>
      </c>
      <c r="O237">
        <v>4722.317477937997</v>
      </c>
      <c r="P237" s="21">
        <v>70</v>
      </c>
      <c r="Q237" s="9">
        <f>AVERAGE(E237,G237,I237,K237,M237,O237)</f>
        <v>4727.9583529722595</v>
      </c>
    </row>
    <row r="238" spans="4:17" hidden="1" x14ac:dyDescent="0.25">
      <c r="F238" s="3"/>
      <c r="G238" s="2"/>
      <c r="P238" s="3"/>
    </row>
    <row r="239" spans="4:17" hidden="1" x14ac:dyDescent="0.25">
      <c r="F239" s="4"/>
      <c r="G239" s="5"/>
      <c r="P239" s="4"/>
    </row>
    <row r="240" spans="4:17" hidden="1" x14ac:dyDescent="0.25">
      <c r="F240" s="4"/>
      <c r="G240" s="5"/>
      <c r="P240" s="4"/>
    </row>
    <row r="241" spans="4:17" hidden="1" x14ac:dyDescent="0.25">
      <c r="F241" s="4"/>
      <c r="G241" s="5"/>
      <c r="P241" s="4"/>
    </row>
    <row r="242" spans="4:17" x14ac:dyDescent="0.25">
      <c r="D242">
        <v>71</v>
      </c>
      <c r="E242">
        <v>4731.839876910557</v>
      </c>
      <c r="F242" s="21">
        <v>71</v>
      </c>
      <c r="G242" s="24">
        <v>4719.5034131464954</v>
      </c>
      <c r="H242">
        <v>71</v>
      </c>
      <c r="I242">
        <v>4723.8191220976069</v>
      </c>
      <c r="J242">
        <v>71</v>
      </c>
      <c r="K242">
        <v>4727.2435751040584</v>
      </c>
      <c r="L242">
        <v>71</v>
      </c>
      <c r="M242">
        <v>4718.6599988979588</v>
      </c>
      <c r="N242">
        <v>71</v>
      </c>
      <c r="O242">
        <v>4717.5028470791694</v>
      </c>
      <c r="P242" s="21">
        <v>71</v>
      </c>
      <c r="Q242" s="9">
        <f>AVERAGE(E242,G242,I242,K242,M242,O242)</f>
        <v>4723.0948055393073</v>
      </c>
    </row>
    <row r="243" spans="4:17" hidden="1" x14ac:dyDescent="0.25">
      <c r="F243" s="1"/>
      <c r="G243" s="6"/>
      <c r="P243" s="1"/>
    </row>
    <row r="244" spans="4:17" hidden="1" x14ac:dyDescent="0.25">
      <c r="F244" s="1"/>
      <c r="G244" s="6"/>
      <c r="P244" s="1"/>
    </row>
    <row r="245" spans="4:17" x14ac:dyDescent="0.25">
      <c r="D245">
        <v>72</v>
      </c>
      <c r="E245">
        <v>4732.2571732238084</v>
      </c>
      <c r="F245" s="21">
        <v>72</v>
      </c>
      <c r="G245" s="24">
        <v>4720.965727812958</v>
      </c>
      <c r="H245">
        <v>72</v>
      </c>
      <c r="I245">
        <v>4725.2046461602367</v>
      </c>
      <c r="J245">
        <v>72</v>
      </c>
      <c r="K245">
        <v>4726.8409605130419</v>
      </c>
      <c r="L245">
        <v>72</v>
      </c>
      <c r="M245">
        <v>4720.2512289870556</v>
      </c>
      <c r="N245">
        <v>72</v>
      </c>
      <c r="O245">
        <v>4718.2753566796373</v>
      </c>
      <c r="P245" s="21">
        <v>72</v>
      </c>
      <c r="Q245" s="9">
        <f t="shared" ref="Q245:Q246" si="7">AVERAGE(E245,G245,I245,K245,M245,O245)</f>
        <v>4723.965848896124</v>
      </c>
    </row>
    <row r="246" spans="4:17" x14ac:dyDescent="0.25">
      <c r="D246">
        <v>73</v>
      </c>
      <c r="E246">
        <v>4609.4932129142189</v>
      </c>
      <c r="F246" s="21">
        <v>73</v>
      </c>
      <c r="G246" s="24">
        <v>4601.9545796139464</v>
      </c>
      <c r="H246">
        <v>73</v>
      </c>
      <c r="I246">
        <v>4598.2829050210657</v>
      </c>
      <c r="J246">
        <v>73</v>
      </c>
      <c r="K246">
        <v>4600.8813452099384</v>
      </c>
      <c r="L246">
        <v>73</v>
      </c>
      <c r="M246">
        <v>4573.5676097589921</v>
      </c>
      <c r="N246">
        <v>73</v>
      </c>
      <c r="O246">
        <v>4571.8444796249669</v>
      </c>
      <c r="P246" s="21">
        <v>73</v>
      </c>
      <c r="Q246" s="9">
        <f t="shared" si="7"/>
        <v>4592.6706886905213</v>
      </c>
    </row>
    <row r="247" spans="4:17" hidden="1" x14ac:dyDescent="0.25">
      <c r="F247" s="1"/>
      <c r="G247" s="6"/>
      <c r="P247" s="1"/>
    </row>
    <row r="248" spans="4:17" x14ac:dyDescent="0.25">
      <c r="D248">
        <v>74</v>
      </c>
      <c r="E248">
        <v>4716.5107018726212</v>
      </c>
      <c r="F248" s="21">
        <v>74</v>
      </c>
      <c r="G248" s="24">
        <v>4703.5327464967831</v>
      </c>
      <c r="H248">
        <v>74</v>
      </c>
      <c r="I248">
        <v>4707.1127635360244</v>
      </c>
      <c r="J248">
        <v>74</v>
      </c>
      <c r="K248">
        <v>4711.6849452794522</v>
      </c>
      <c r="L248">
        <v>74</v>
      </c>
      <c r="M248">
        <v>4703.1937611793519</v>
      </c>
      <c r="N248">
        <v>74</v>
      </c>
      <c r="O248">
        <v>4700.6725738155192</v>
      </c>
      <c r="P248" s="21">
        <v>74</v>
      </c>
      <c r="Q248" s="9">
        <f>AVERAGE(E248,G248,I248,K248,M248,O248)</f>
        <v>4707.117915363292</v>
      </c>
    </row>
    <row r="249" spans="4:17" hidden="1" x14ac:dyDescent="0.25">
      <c r="F249" s="1"/>
      <c r="G249" s="6"/>
      <c r="P249" s="1"/>
    </row>
    <row r="250" spans="4:17" hidden="1" x14ac:dyDescent="0.25">
      <c r="F250" s="1"/>
      <c r="G250" s="6"/>
      <c r="P250" s="1"/>
    </row>
    <row r="251" spans="4:17" hidden="1" x14ac:dyDescent="0.25">
      <c r="F251" s="1"/>
      <c r="G251" s="6"/>
      <c r="P251" s="1"/>
    </row>
    <row r="252" spans="4:17" x14ac:dyDescent="0.25">
      <c r="D252">
        <v>75</v>
      </c>
      <c r="E252">
        <v>4805.4413504658241</v>
      </c>
      <c r="F252" s="21">
        <v>75</v>
      </c>
      <c r="G252" s="24">
        <v>4794.3219397183875</v>
      </c>
      <c r="H252">
        <v>75</v>
      </c>
      <c r="I252">
        <v>4802.3960002288841</v>
      </c>
      <c r="J252">
        <v>75</v>
      </c>
      <c r="K252">
        <v>4805.0830476505344</v>
      </c>
      <c r="L252">
        <v>75</v>
      </c>
      <c r="M252">
        <v>4804.300771216399</v>
      </c>
      <c r="N252">
        <v>75</v>
      </c>
      <c r="O252">
        <v>4803.6224330934274</v>
      </c>
      <c r="P252" s="21">
        <v>75</v>
      </c>
      <c r="Q252" s="9">
        <f>AVERAGE(E252,G252,I252,K252,M252,O252)</f>
        <v>4802.5275903955762</v>
      </c>
    </row>
    <row r="253" spans="4:17" hidden="1" x14ac:dyDescent="0.25">
      <c r="F253" s="1"/>
      <c r="G253" s="6"/>
      <c r="P253" s="1"/>
    </row>
    <row r="254" spans="4:17" hidden="1" x14ac:dyDescent="0.25">
      <c r="F254" s="1"/>
      <c r="G254" s="6"/>
      <c r="P254" s="1"/>
    </row>
    <row r="255" spans="4:17" x14ac:dyDescent="0.25">
      <c r="D255">
        <v>76</v>
      </c>
      <c r="E255">
        <v>4623.3626842738822</v>
      </c>
      <c r="F255" s="21">
        <v>76</v>
      </c>
      <c r="G255" s="24">
        <v>4614.2214950874431</v>
      </c>
      <c r="H255">
        <v>76</v>
      </c>
      <c r="I255">
        <v>4612.4714505819629</v>
      </c>
      <c r="J255">
        <v>76</v>
      </c>
      <c r="K255">
        <v>4615.6566139382694</v>
      </c>
      <c r="L255">
        <v>76</v>
      </c>
      <c r="M255">
        <v>4589.4269760433363</v>
      </c>
      <c r="N255">
        <v>76</v>
      </c>
      <c r="O255">
        <v>4586.2122481201732</v>
      </c>
      <c r="P255" s="21">
        <v>76</v>
      </c>
      <c r="Q255" s="9">
        <f>AVERAGE(E255,G255,I255,K255,M255,O255)</f>
        <v>4606.8919113408447</v>
      </c>
    </row>
    <row r="256" spans="4:17" hidden="1" x14ac:dyDescent="0.25">
      <c r="F256" s="1"/>
      <c r="G256" s="6"/>
      <c r="P256" s="1"/>
    </row>
    <row r="257" spans="4:17" hidden="1" x14ac:dyDescent="0.25">
      <c r="F257" s="1"/>
      <c r="G257" s="6"/>
      <c r="P257" s="1"/>
    </row>
    <row r="258" spans="4:17" hidden="1" x14ac:dyDescent="0.25">
      <c r="F258" s="1"/>
      <c r="G258" s="6"/>
      <c r="P258" s="1"/>
    </row>
    <row r="259" spans="4:17" x14ac:dyDescent="0.25">
      <c r="D259">
        <v>77</v>
      </c>
      <c r="E259">
        <v>4791.2464705034645</v>
      </c>
      <c r="F259" s="21">
        <v>77</v>
      </c>
      <c r="G259" s="24">
        <v>4778.8474318218432</v>
      </c>
      <c r="H259">
        <v>77</v>
      </c>
      <c r="I259">
        <v>4785.8410387155291</v>
      </c>
      <c r="J259">
        <v>77</v>
      </c>
      <c r="K259">
        <v>4788.3746005103303</v>
      </c>
      <c r="L259">
        <v>77</v>
      </c>
      <c r="M259">
        <v>4788.0827681137307</v>
      </c>
      <c r="N259">
        <v>77</v>
      </c>
      <c r="O259">
        <v>4787.2049725337611</v>
      </c>
      <c r="P259" s="21">
        <v>77</v>
      </c>
      <c r="Q259" s="9">
        <f>AVERAGE(E259,G259,I259,K259,M259,O259)</f>
        <v>4786.59954703311</v>
      </c>
    </row>
    <row r="260" spans="4:17" hidden="1" x14ac:dyDescent="0.25">
      <c r="F260" s="1"/>
      <c r="G260" s="6"/>
      <c r="P260" s="1"/>
    </row>
    <row r="261" spans="4:17" hidden="1" x14ac:dyDescent="0.25">
      <c r="F261" s="1"/>
      <c r="G261" s="6"/>
      <c r="P261" s="1"/>
    </row>
    <row r="262" spans="4:17" x14ac:dyDescent="0.25">
      <c r="D262">
        <v>78</v>
      </c>
      <c r="E262">
        <v>4614.3800494646621</v>
      </c>
      <c r="F262" s="21">
        <v>78</v>
      </c>
      <c r="G262" s="24">
        <v>4601.952846443377</v>
      </c>
      <c r="H262">
        <v>78</v>
      </c>
      <c r="I262">
        <v>4599.6225543178789</v>
      </c>
      <c r="J262">
        <v>78</v>
      </c>
      <c r="K262">
        <v>4604.3084657901209</v>
      </c>
      <c r="L262">
        <v>78</v>
      </c>
      <c r="M262">
        <v>4571.8476208641696</v>
      </c>
      <c r="N262">
        <v>78</v>
      </c>
      <c r="O262">
        <v>4569.1430476081478</v>
      </c>
      <c r="P262" s="21">
        <v>78</v>
      </c>
      <c r="Q262" s="9">
        <f>AVERAGE(E262,G262,I262,K262,M262,O262)</f>
        <v>4593.5424307480598</v>
      </c>
    </row>
    <row r="263" spans="4:17" hidden="1" x14ac:dyDescent="0.25">
      <c r="F263" s="1"/>
      <c r="G263" s="6"/>
      <c r="P263" s="1"/>
    </row>
    <row r="264" spans="4:17" x14ac:dyDescent="0.25">
      <c r="D264">
        <v>79</v>
      </c>
      <c r="E264">
        <v>4696.675183108262</v>
      </c>
      <c r="F264" s="21">
        <v>79</v>
      </c>
      <c r="G264" s="24">
        <v>4681.8090986156685</v>
      </c>
      <c r="H264">
        <v>79</v>
      </c>
      <c r="I264">
        <v>4689.222872214169</v>
      </c>
      <c r="J264">
        <v>79</v>
      </c>
      <c r="K264">
        <v>4692.6709589023676</v>
      </c>
      <c r="L264">
        <v>79</v>
      </c>
      <c r="M264">
        <v>4682.6006476607072</v>
      </c>
      <c r="N264">
        <v>79</v>
      </c>
      <c r="O264">
        <v>4679.8417751752668</v>
      </c>
      <c r="P264" s="21">
        <v>79</v>
      </c>
      <c r="Q264" s="9">
        <f>AVERAGE(E264,G264,I264,K264,M264,O264)</f>
        <v>4687.1367559460732</v>
      </c>
    </row>
    <row r="265" spans="4:17" hidden="1" x14ac:dyDescent="0.25">
      <c r="F265" s="1"/>
      <c r="G265" s="6"/>
      <c r="P265" s="1"/>
    </row>
    <row r="266" spans="4:17" hidden="1" x14ac:dyDescent="0.25">
      <c r="F266" s="1"/>
      <c r="G266" s="6"/>
      <c r="P266" s="1"/>
    </row>
    <row r="267" spans="4:17" x14ac:dyDescent="0.25">
      <c r="D267">
        <v>80</v>
      </c>
      <c r="E267">
        <v>4700.3812155082533</v>
      </c>
      <c r="F267" s="21">
        <v>80</v>
      </c>
      <c r="G267" s="24">
        <v>4689.0833636394464</v>
      </c>
      <c r="H267">
        <v>80</v>
      </c>
      <c r="I267">
        <v>4694.7693066893853</v>
      </c>
      <c r="J267">
        <v>80</v>
      </c>
      <c r="K267">
        <v>4699.8172770275432</v>
      </c>
      <c r="L267">
        <v>80</v>
      </c>
      <c r="M267">
        <v>4689.3372139993044</v>
      </c>
      <c r="N267">
        <v>80</v>
      </c>
      <c r="O267">
        <v>4690.857277917652</v>
      </c>
      <c r="P267" s="21">
        <v>80</v>
      </c>
      <c r="Q267" s="9">
        <f>AVERAGE(E267,G267,I267,K267,M267,O267)</f>
        <v>4694.0409424635973</v>
      </c>
    </row>
    <row r="268" spans="4:17" hidden="1" x14ac:dyDescent="0.25">
      <c r="F268" s="3"/>
      <c r="G268" s="2"/>
      <c r="P268" s="3"/>
    </row>
    <row r="269" spans="4:17" hidden="1" x14ac:dyDescent="0.25">
      <c r="F269" s="4"/>
      <c r="G269" s="5"/>
      <c r="P269" s="4"/>
    </row>
    <row r="270" spans="4:17" hidden="1" x14ac:dyDescent="0.25">
      <c r="F270" s="4"/>
      <c r="G270" s="5"/>
      <c r="P270" s="4"/>
    </row>
    <row r="271" spans="4:17" hidden="1" x14ac:dyDescent="0.25">
      <c r="F271" s="4"/>
      <c r="G271" s="5"/>
      <c r="P271" s="4"/>
    </row>
    <row r="272" spans="4:17" x14ac:dyDescent="0.25">
      <c r="D272">
        <v>81</v>
      </c>
      <c r="E272">
        <v>4696.369868306163</v>
      </c>
      <c r="F272" s="21">
        <v>81</v>
      </c>
      <c r="G272" s="24">
        <v>4684.7319064028552</v>
      </c>
      <c r="H272">
        <v>81</v>
      </c>
      <c r="I272">
        <v>4692.7351292354379</v>
      </c>
      <c r="J272">
        <v>81</v>
      </c>
      <c r="K272">
        <v>4697.1348032857759</v>
      </c>
      <c r="L272">
        <v>81</v>
      </c>
      <c r="M272">
        <v>4686.8453248052356</v>
      </c>
      <c r="N272">
        <v>81</v>
      </c>
      <c r="O272">
        <v>4685.8486540271097</v>
      </c>
      <c r="P272" s="21">
        <v>81</v>
      </c>
      <c r="Q272" s="9">
        <f>AVERAGE(E272,G272,I272,K272,M272,O272)</f>
        <v>4690.6109476770971</v>
      </c>
    </row>
    <row r="273" spans="4:17" hidden="1" x14ac:dyDescent="0.25">
      <c r="F273" s="1"/>
      <c r="G273" s="6"/>
      <c r="P273" s="1"/>
    </row>
    <row r="274" spans="4:17" hidden="1" x14ac:dyDescent="0.25">
      <c r="F274" s="1"/>
      <c r="G274" s="6"/>
      <c r="P274" s="1"/>
    </row>
    <row r="275" spans="4:17" x14ac:dyDescent="0.25">
      <c r="D275">
        <v>82</v>
      </c>
      <c r="E275">
        <v>4697.5354708679843</v>
      </c>
      <c r="F275" s="21">
        <v>82</v>
      </c>
      <c r="G275" s="24">
        <v>4685.5239055890415</v>
      </c>
      <c r="H275">
        <v>82</v>
      </c>
      <c r="I275">
        <v>4692.4173772708391</v>
      </c>
      <c r="J275">
        <v>82</v>
      </c>
      <c r="K275">
        <v>4696.6461723167431</v>
      </c>
      <c r="L275">
        <v>82</v>
      </c>
      <c r="M275">
        <v>4684.6695646092412</v>
      </c>
      <c r="N275">
        <v>82</v>
      </c>
      <c r="O275">
        <v>4685.4030537117569</v>
      </c>
      <c r="P275" s="21">
        <v>82</v>
      </c>
      <c r="Q275" s="9">
        <f t="shared" ref="Q275:Q276" si="8">AVERAGE(E275,G275,I275,K275,M275,O275)</f>
        <v>4690.365924060934</v>
      </c>
    </row>
    <row r="276" spans="4:17" x14ac:dyDescent="0.25">
      <c r="D276">
        <v>83</v>
      </c>
      <c r="E276">
        <v>4550.9078632706869</v>
      </c>
      <c r="F276" s="21">
        <v>83</v>
      </c>
      <c r="G276" s="24">
        <v>4543.9867971313042</v>
      </c>
      <c r="H276">
        <v>83</v>
      </c>
      <c r="I276">
        <v>4547.4960771597871</v>
      </c>
      <c r="J276">
        <v>83</v>
      </c>
      <c r="K276">
        <v>4556.4621283792376</v>
      </c>
      <c r="L276">
        <v>83</v>
      </c>
      <c r="M276">
        <v>4524.9719721438078</v>
      </c>
      <c r="N276">
        <v>83</v>
      </c>
      <c r="O276">
        <v>4527.6480413349946</v>
      </c>
      <c r="P276" s="21">
        <v>83</v>
      </c>
      <c r="Q276" s="9">
        <f t="shared" si="8"/>
        <v>4541.9121465699691</v>
      </c>
    </row>
    <row r="277" spans="4:17" hidden="1" x14ac:dyDescent="0.25">
      <c r="F277" s="1"/>
      <c r="G277" s="6"/>
      <c r="P277" s="1"/>
    </row>
    <row r="278" spans="4:17" x14ac:dyDescent="0.25">
      <c r="D278">
        <v>84</v>
      </c>
      <c r="E278">
        <v>4684.0116451768772</v>
      </c>
      <c r="F278" s="21">
        <v>84</v>
      </c>
      <c r="G278" s="24">
        <v>4670.1467419868941</v>
      </c>
      <c r="H278">
        <v>84</v>
      </c>
      <c r="I278">
        <v>4677.0673283148099</v>
      </c>
      <c r="J278">
        <v>84</v>
      </c>
      <c r="K278">
        <v>4681.962189839187</v>
      </c>
      <c r="L278">
        <v>84</v>
      </c>
      <c r="M278">
        <v>4670.0732176614702</v>
      </c>
      <c r="N278">
        <v>84</v>
      </c>
      <c r="O278">
        <v>4669.2211678661961</v>
      </c>
      <c r="P278" s="21">
        <v>84</v>
      </c>
      <c r="Q278" s="9">
        <f>AVERAGE(E278,G278,I278,K278,M278,O278)</f>
        <v>4675.4137151409059</v>
      </c>
    </row>
    <row r="279" spans="4:17" hidden="1" x14ac:dyDescent="0.25">
      <c r="F279" s="1"/>
      <c r="G279" s="6"/>
      <c r="P279" s="1"/>
    </row>
    <row r="280" spans="4:17" hidden="1" x14ac:dyDescent="0.25">
      <c r="F280" s="1"/>
      <c r="G280" s="6"/>
      <c r="P280" s="1"/>
    </row>
    <row r="281" spans="4:17" hidden="1" x14ac:dyDescent="0.25">
      <c r="F281" s="1"/>
      <c r="G281" s="6"/>
      <c r="P281" s="1"/>
    </row>
    <row r="282" spans="4:17" x14ac:dyDescent="0.25">
      <c r="D282">
        <v>85</v>
      </c>
      <c r="E282">
        <v>4779.5024257606201</v>
      </c>
      <c r="F282" s="21">
        <v>85</v>
      </c>
      <c r="G282" s="24">
        <v>4768.7576576977535</v>
      </c>
      <c r="H282">
        <v>85</v>
      </c>
      <c r="I282">
        <v>4777.4598819121256</v>
      </c>
      <c r="J282">
        <v>85</v>
      </c>
      <c r="K282">
        <v>4779.4557346371321</v>
      </c>
      <c r="L282">
        <v>85</v>
      </c>
      <c r="M282">
        <v>4778.5085153819418</v>
      </c>
      <c r="N282">
        <v>85</v>
      </c>
      <c r="O282">
        <v>4776.0837052719926</v>
      </c>
      <c r="P282" s="21">
        <v>85</v>
      </c>
      <c r="Q282" s="9">
        <f>AVERAGE(E282,G282,I282,K282,M282,O282)</f>
        <v>4776.6279867769272</v>
      </c>
    </row>
    <row r="283" spans="4:17" hidden="1" x14ac:dyDescent="0.25">
      <c r="F283" s="1"/>
      <c r="G283" s="6"/>
      <c r="P283" s="1"/>
    </row>
    <row r="284" spans="4:17" hidden="1" x14ac:dyDescent="0.25">
      <c r="F284" s="1"/>
      <c r="G284" s="6"/>
      <c r="P284" s="1"/>
    </row>
    <row r="285" spans="4:17" x14ac:dyDescent="0.25">
      <c r="D285">
        <v>86</v>
      </c>
      <c r="E285">
        <v>4583.6348791570235</v>
      </c>
      <c r="F285" s="21">
        <v>86</v>
      </c>
      <c r="G285" s="24">
        <v>4572.9270082568255</v>
      </c>
      <c r="H285">
        <v>86</v>
      </c>
      <c r="I285">
        <v>4571.0134448937379</v>
      </c>
      <c r="J285">
        <v>86</v>
      </c>
      <c r="K285">
        <v>4575.1761965616333</v>
      </c>
      <c r="L285">
        <v>86</v>
      </c>
      <c r="M285">
        <v>4544.0851207582027</v>
      </c>
      <c r="N285">
        <v>86</v>
      </c>
      <c r="O285">
        <v>4531.6923834168338</v>
      </c>
      <c r="P285" s="21">
        <v>86</v>
      </c>
      <c r="Q285" s="9">
        <f>AVERAGE(E285,G285,I285,K285,M285,O285)</f>
        <v>4563.0881721740434</v>
      </c>
    </row>
    <row r="286" spans="4:17" hidden="1" x14ac:dyDescent="0.25">
      <c r="F286" s="1"/>
      <c r="G286" s="6"/>
      <c r="P286" s="1"/>
    </row>
    <row r="287" spans="4:17" hidden="1" x14ac:dyDescent="0.25">
      <c r="F287" s="1"/>
      <c r="G287" s="6"/>
      <c r="P287" s="1"/>
    </row>
    <row r="288" spans="4:17" hidden="1" x14ac:dyDescent="0.25">
      <c r="F288" s="1"/>
      <c r="G288" s="6"/>
      <c r="P288" s="1"/>
    </row>
    <row r="289" spans="4:17" x14ac:dyDescent="0.25">
      <c r="D289">
        <v>87</v>
      </c>
      <c r="E289">
        <v>4766.8061125098548</v>
      </c>
      <c r="F289" s="21">
        <v>87</v>
      </c>
      <c r="G289" s="24">
        <v>4753.8101260564745</v>
      </c>
      <c r="H289">
        <v>87</v>
      </c>
      <c r="I289">
        <v>4760.8141148071854</v>
      </c>
      <c r="J289">
        <v>87</v>
      </c>
      <c r="K289">
        <v>4763.6744135873105</v>
      </c>
      <c r="L289">
        <v>87</v>
      </c>
      <c r="M289">
        <v>4762.4535002500788</v>
      </c>
      <c r="N289">
        <v>87</v>
      </c>
      <c r="O289">
        <v>4759.3263555097783</v>
      </c>
      <c r="P289" s="21">
        <v>87</v>
      </c>
      <c r="Q289" s="9">
        <f>AVERAGE(E289,G289,I289,K289,M289,O289)</f>
        <v>4761.1474371201139</v>
      </c>
    </row>
    <row r="290" spans="4:17" hidden="1" x14ac:dyDescent="0.25">
      <c r="F290" s="1"/>
      <c r="G290" s="6"/>
      <c r="P290" s="1"/>
    </row>
    <row r="291" spans="4:17" hidden="1" x14ac:dyDescent="0.25">
      <c r="F291" s="1"/>
      <c r="G291" s="6"/>
      <c r="P291" s="1"/>
    </row>
    <row r="292" spans="4:17" x14ac:dyDescent="0.25">
      <c r="D292">
        <v>88</v>
      </c>
      <c r="E292">
        <v>4579.0068618973737</v>
      </c>
      <c r="F292" s="21">
        <v>88</v>
      </c>
      <c r="G292" s="24">
        <v>4570.7229251968829</v>
      </c>
      <c r="H292">
        <v>88</v>
      </c>
      <c r="I292">
        <v>4569.0002748743254</v>
      </c>
      <c r="J292">
        <v>88</v>
      </c>
      <c r="K292">
        <v>4569.0408642964321</v>
      </c>
      <c r="L292">
        <v>88</v>
      </c>
      <c r="M292">
        <v>4538.0195703313748</v>
      </c>
      <c r="N292">
        <v>88</v>
      </c>
      <c r="O292">
        <v>4522.9598501224955</v>
      </c>
      <c r="P292" s="21">
        <v>88</v>
      </c>
      <c r="Q292" s="9">
        <f>AVERAGE(E292,G292,I292,K292,M292,O292)</f>
        <v>4558.1250577864812</v>
      </c>
    </row>
    <row r="293" spans="4:17" hidden="1" x14ac:dyDescent="0.25">
      <c r="F293" s="1"/>
      <c r="G293" s="6"/>
      <c r="P293" s="1"/>
    </row>
    <row r="294" spans="4:17" x14ac:dyDescent="0.25">
      <c r="D294">
        <v>89</v>
      </c>
      <c r="E294">
        <v>4672.3368236226625</v>
      </c>
      <c r="F294" s="21">
        <v>89</v>
      </c>
      <c r="G294" s="24">
        <v>4660.7707556606738</v>
      </c>
      <c r="H294">
        <v>89</v>
      </c>
      <c r="I294">
        <v>4665.6621646194153</v>
      </c>
      <c r="J294">
        <v>89</v>
      </c>
      <c r="K294">
        <v>4667.4123598077358</v>
      </c>
      <c r="L294">
        <v>89</v>
      </c>
      <c r="M294">
        <v>4651.9488570568737</v>
      </c>
      <c r="N294">
        <v>89</v>
      </c>
      <c r="O294">
        <v>4646.681129464323</v>
      </c>
      <c r="P294" s="21">
        <v>89</v>
      </c>
      <c r="Q294" s="9">
        <f>AVERAGE(E294,G294,I294,K294,M294,O294)</f>
        <v>4660.8020150386137</v>
      </c>
    </row>
    <row r="295" spans="4:17" hidden="1" x14ac:dyDescent="0.25">
      <c r="F295" s="1"/>
      <c r="G295" s="6"/>
      <c r="P295" s="1"/>
    </row>
    <row r="296" spans="4:17" hidden="1" x14ac:dyDescent="0.25">
      <c r="F296" s="1"/>
      <c r="G296" s="6"/>
      <c r="P296" s="1"/>
    </row>
    <row r="297" spans="4:17" x14ac:dyDescent="0.25">
      <c r="D297">
        <v>90</v>
      </c>
      <c r="E297">
        <v>4677.8876692267922</v>
      </c>
      <c r="F297" s="21">
        <v>90</v>
      </c>
      <c r="G297" s="24">
        <v>4667.0982761543873</v>
      </c>
      <c r="H297">
        <v>90</v>
      </c>
      <c r="I297">
        <v>4671.353290226597</v>
      </c>
      <c r="J297">
        <v>90</v>
      </c>
      <c r="K297">
        <v>4673.54717708095</v>
      </c>
      <c r="L297">
        <v>90</v>
      </c>
      <c r="M297">
        <v>4657.9647567457587</v>
      </c>
      <c r="N297">
        <v>90</v>
      </c>
      <c r="O297">
        <v>4649.8582104134348</v>
      </c>
      <c r="P297" s="21">
        <v>90</v>
      </c>
      <c r="Q297" s="9">
        <f>AVERAGE(E297,G297,I297,K297,M297,O297)</f>
        <v>4666.2848966413194</v>
      </c>
    </row>
    <row r="298" spans="4:17" hidden="1" x14ac:dyDescent="0.25">
      <c r="F298" s="3"/>
      <c r="G298" s="2"/>
      <c r="P298" s="3"/>
    </row>
    <row r="299" spans="4:17" hidden="1" x14ac:dyDescent="0.25">
      <c r="F299" s="4"/>
      <c r="G299" s="5"/>
      <c r="P299" s="4"/>
    </row>
    <row r="300" spans="4:17" hidden="1" x14ac:dyDescent="0.25">
      <c r="F300" s="4"/>
      <c r="G300" s="5"/>
      <c r="P300" s="4"/>
    </row>
    <row r="301" spans="4:17" hidden="1" x14ac:dyDescent="0.25">
      <c r="F301" s="4"/>
      <c r="G301" s="5"/>
      <c r="P301" s="4"/>
    </row>
    <row r="302" spans="4:17" x14ac:dyDescent="0.25">
      <c r="D302">
        <v>91</v>
      </c>
      <c r="E302">
        <v>4673.8940017208788</v>
      </c>
      <c r="F302" s="21">
        <v>91</v>
      </c>
      <c r="G302" s="24">
        <v>4664.0711006841129</v>
      </c>
      <c r="H302">
        <v>91</v>
      </c>
      <c r="I302">
        <v>4667.2386606393538</v>
      </c>
      <c r="J302">
        <v>91</v>
      </c>
      <c r="K302">
        <v>4669.1564903825783</v>
      </c>
      <c r="L302">
        <v>91</v>
      </c>
      <c r="M302">
        <v>4652.7074118579549</v>
      </c>
      <c r="N302">
        <v>91</v>
      </c>
      <c r="O302">
        <v>4646.0527879504589</v>
      </c>
      <c r="P302" s="21">
        <v>91</v>
      </c>
      <c r="Q302" s="9">
        <f>AVERAGE(E302,G302,I302,K302,M302,O302)</f>
        <v>4662.1867422058895</v>
      </c>
    </row>
    <row r="303" spans="4:17" hidden="1" x14ac:dyDescent="0.25">
      <c r="F303" s="1"/>
      <c r="G303" s="6"/>
      <c r="P303" s="1"/>
    </row>
    <row r="304" spans="4:17" hidden="1" x14ac:dyDescent="0.25">
      <c r="F304" s="1"/>
      <c r="G304" s="6"/>
      <c r="P304" s="1"/>
    </row>
    <row r="305" spans="4:17" x14ac:dyDescent="0.25">
      <c r="D305">
        <v>92</v>
      </c>
      <c r="E305">
        <v>4673.0228082110489</v>
      </c>
      <c r="F305" s="21">
        <v>92</v>
      </c>
      <c r="G305" s="24">
        <v>4663.7512349211192</v>
      </c>
      <c r="H305">
        <v>92</v>
      </c>
      <c r="I305">
        <v>4668.7779269771036</v>
      </c>
      <c r="J305">
        <v>92</v>
      </c>
      <c r="K305">
        <v>4668.7790054932466</v>
      </c>
      <c r="L305">
        <v>92</v>
      </c>
      <c r="M305">
        <v>4653.4596191178589</v>
      </c>
      <c r="N305">
        <v>92</v>
      </c>
      <c r="O305">
        <v>4645.816559641582</v>
      </c>
      <c r="P305" s="21">
        <v>92</v>
      </c>
      <c r="Q305" s="9">
        <f t="shared" ref="Q305:Q306" si="9">AVERAGE(E305,G305,I305,K305,M305,O305)</f>
        <v>4662.2678590603264</v>
      </c>
    </row>
    <row r="306" spans="4:17" x14ac:dyDescent="0.25">
      <c r="D306">
        <v>93</v>
      </c>
      <c r="E306">
        <v>4530.118478887448</v>
      </c>
      <c r="F306" s="21">
        <v>93</v>
      </c>
      <c r="G306" s="24">
        <v>4524.8493926061556</v>
      </c>
      <c r="H306">
        <v>93</v>
      </c>
      <c r="I306">
        <v>4520.8415520120716</v>
      </c>
      <c r="J306">
        <v>93</v>
      </c>
      <c r="K306">
        <v>4520.3584267948427</v>
      </c>
      <c r="L306">
        <v>93</v>
      </c>
      <c r="M306">
        <v>4474.6263423700648</v>
      </c>
      <c r="N306">
        <v>93</v>
      </c>
      <c r="O306">
        <v>4458.5209326229406</v>
      </c>
      <c r="P306" s="21">
        <v>93</v>
      </c>
      <c r="Q306" s="9">
        <f t="shared" si="9"/>
        <v>4504.8858542155876</v>
      </c>
    </row>
    <row r="307" spans="4:17" hidden="1" x14ac:dyDescent="0.25">
      <c r="F307" s="1"/>
      <c r="G307" s="6"/>
      <c r="P307" s="1"/>
    </row>
    <row r="308" spans="4:17" x14ac:dyDescent="0.25">
      <c r="D308">
        <v>94</v>
      </c>
      <c r="E308">
        <v>4655.9807713011714</v>
      </c>
      <c r="F308" s="21">
        <v>94</v>
      </c>
      <c r="G308" s="24">
        <v>4643.3684434949946</v>
      </c>
      <c r="H308">
        <v>94</v>
      </c>
      <c r="I308">
        <v>4646.4511469698118</v>
      </c>
      <c r="J308">
        <v>94</v>
      </c>
      <c r="K308">
        <v>4649.282979196867</v>
      </c>
      <c r="L308">
        <v>94</v>
      </c>
      <c r="M308">
        <v>4634.8636797131312</v>
      </c>
      <c r="N308">
        <v>94</v>
      </c>
      <c r="O308">
        <v>4627.2245695684242</v>
      </c>
      <c r="P308" s="21">
        <v>94</v>
      </c>
      <c r="Q308" s="9">
        <f>AVERAGE(E308,G308,I308,K308,M308,O308)</f>
        <v>4642.8619317074008</v>
      </c>
    </row>
    <row r="309" spans="4:17" hidden="1" x14ac:dyDescent="0.25">
      <c r="F309" s="1"/>
      <c r="G309" s="6"/>
      <c r="P309" s="1"/>
    </row>
    <row r="310" spans="4:17" hidden="1" x14ac:dyDescent="0.25">
      <c r="F310" s="1"/>
      <c r="G310" s="6"/>
      <c r="P310" s="1"/>
    </row>
    <row r="311" spans="4:17" hidden="1" x14ac:dyDescent="0.25">
      <c r="F311" s="1"/>
      <c r="G311" s="6"/>
      <c r="P311" s="1"/>
    </row>
    <row r="312" spans="4:17" x14ac:dyDescent="0.25">
      <c r="D312">
        <v>95</v>
      </c>
      <c r="E312">
        <v>4756.5662099556639</v>
      </c>
      <c r="F312" s="21">
        <v>95</v>
      </c>
      <c r="G312" s="24">
        <v>4745.1027324245752</v>
      </c>
      <c r="H312">
        <v>95</v>
      </c>
      <c r="I312">
        <v>4752.3421577104691</v>
      </c>
      <c r="J312">
        <v>95</v>
      </c>
      <c r="K312">
        <v>4753.2227223790514</v>
      </c>
      <c r="L312">
        <v>95</v>
      </c>
      <c r="M312">
        <v>4751.4344889923113</v>
      </c>
      <c r="N312">
        <v>95</v>
      </c>
      <c r="O312">
        <v>4746.9815442130166</v>
      </c>
      <c r="P312" s="21">
        <v>95</v>
      </c>
      <c r="Q312" s="9">
        <f>AVERAGE(E312,G312,I312,K312,M312,O312)</f>
        <v>4750.9416426125144</v>
      </c>
    </row>
    <row r="313" spans="4:17" hidden="1" x14ac:dyDescent="0.25">
      <c r="F313" s="1"/>
      <c r="G313" s="6"/>
      <c r="P313" s="1"/>
    </row>
    <row r="314" spans="4:17" hidden="1" x14ac:dyDescent="0.25">
      <c r="F314" s="1"/>
      <c r="G314" s="6"/>
      <c r="P314" s="1"/>
    </row>
    <row r="315" spans="4:17" x14ac:dyDescent="0.25">
      <c r="D315">
        <v>96</v>
      </c>
      <c r="E315">
        <v>4543.0192077176744</v>
      </c>
      <c r="F315" s="21">
        <v>96</v>
      </c>
      <c r="G315" s="24">
        <v>4538.2430196332753</v>
      </c>
      <c r="H315">
        <v>96</v>
      </c>
      <c r="I315">
        <v>4532.9276245517658</v>
      </c>
      <c r="J315">
        <v>96</v>
      </c>
      <c r="K315">
        <v>4535.296900935039</v>
      </c>
      <c r="L315">
        <v>96</v>
      </c>
      <c r="M315">
        <v>4500.1165303951238</v>
      </c>
      <c r="N315">
        <v>96</v>
      </c>
      <c r="O315">
        <v>4488.6511459101575</v>
      </c>
      <c r="P315" s="21">
        <v>96</v>
      </c>
      <c r="Q315" s="9">
        <f>AVERAGE(E315,G315,I315,K315,M315,O315)</f>
        <v>4523.0424048571722</v>
      </c>
    </row>
    <row r="316" spans="4:17" hidden="1" x14ac:dyDescent="0.25">
      <c r="F316" s="1"/>
      <c r="G316" s="6"/>
      <c r="P316" s="1"/>
    </row>
    <row r="317" spans="4:17" hidden="1" x14ac:dyDescent="0.25">
      <c r="F317" s="1"/>
      <c r="G317" s="6"/>
      <c r="P317" s="1"/>
    </row>
    <row r="318" spans="4:17" hidden="1" x14ac:dyDescent="0.25">
      <c r="F318" s="1"/>
      <c r="G318" s="6"/>
      <c r="P318" s="1"/>
    </row>
    <row r="319" spans="4:17" x14ac:dyDescent="0.25">
      <c r="D319">
        <v>97</v>
      </c>
      <c r="E319">
        <v>4741.2890821698329</v>
      </c>
      <c r="F319" s="21">
        <v>97</v>
      </c>
      <c r="G319" s="24">
        <v>4728.4744195213752</v>
      </c>
      <c r="H319">
        <v>97</v>
      </c>
      <c r="I319">
        <v>4735.623048964505</v>
      </c>
      <c r="J319">
        <v>97</v>
      </c>
      <c r="K319">
        <v>4737.8231837525327</v>
      </c>
      <c r="L319">
        <v>97</v>
      </c>
      <c r="M319">
        <v>4735.4685655671692</v>
      </c>
      <c r="N319">
        <v>97</v>
      </c>
      <c r="O319">
        <v>4731.1151414002697</v>
      </c>
      <c r="P319" s="21">
        <v>97</v>
      </c>
      <c r="Q319" s="9">
        <f>AVERAGE(E319,G319,I319,K319,M319,O319)</f>
        <v>4734.9655735626138</v>
      </c>
    </row>
    <row r="320" spans="4:17" hidden="1" x14ac:dyDescent="0.25">
      <c r="F320" s="1"/>
      <c r="G320" s="6"/>
      <c r="P320" s="1"/>
    </row>
    <row r="321" spans="4:17" hidden="1" x14ac:dyDescent="0.25">
      <c r="F321" s="1"/>
      <c r="G321" s="6"/>
      <c r="P321" s="1"/>
    </row>
    <row r="322" spans="4:17" x14ac:dyDescent="0.25">
      <c r="D322">
        <v>98</v>
      </c>
      <c r="E322">
        <v>4533.1946182277488</v>
      </c>
      <c r="F322" s="21">
        <v>98</v>
      </c>
      <c r="G322" s="24">
        <v>4527.5079016301715</v>
      </c>
      <c r="H322">
        <v>98</v>
      </c>
      <c r="I322">
        <v>4519.3316219916414</v>
      </c>
      <c r="J322">
        <v>98</v>
      </c>
      <c r="K322">
        <v>4521.3002996702362</v>
      </c>
      <c r="L322">
        <v>98</v>
      </c>
      <c r="M322">
        <v>4491.1140868323118</v>
      </c>
      <c r="N322">
        <v>98</v>
      </c>
      <c r="O322">
        <v>4468.0041936878515</v>
      </c>
      <c r="P322" s="21">
        <v>98</v>
      </c>
      <c r="Q322" s="9">
        <f>AVERAGE(E322,G322,I322,K322,M322,O322)</f>
        <v>4510.0754536733275</v>
      </c>
    </row>
    <row r="323" spans="4:17" hidden="1" x14ac:dyDescent="0.25">
      <c r="F323" s="1"/>
      <c r="G323" s="6"/>
      <c r="P323" s="1"/>
    </row>
    <row r="324" spans="4:17" x14ac:dyDescent="0.25">
      <c r="D324">
        <v>99</v>
      </c>
      <c r="E324">
        <v>4640.9066633181592</v>
      </c>
      <c r="F324" s="21">
        <v>99</v>
      </c>
      <c r="G324" s="24">
        <v>4627.4554148334646</v>
      </c>
      <c r="H324">
        <v>99</v>
      </c>
      <c r="I324">
        <v>4631.1381871858121</v>
      </c>
      <c r="J324">
        <v>99</v>
      </c>
      <c r="K324">
        <v>4633.9848963234235</v>
      </c>
      <c r="L324">
        <v>99</v>
      </c>
      <c r="M324">
        <v>4614.876100556955</v>
      </c>
      <c r="N324">
        <v>99</v>
      </c>
      <c r="O324">
        <v>4606.7946648525385</v>
      </c>
      <c r="P324" s="21">
        <v>99</v>
      </c>
      <c r="Q324" s="9">
        <f>AVERAGE(E324,G324,I324,K324,M324,O324)</f>
        <v>4625.8593211783918</v>
      </c>
    </row>
    <row r="325" spans="4:17" hidden="1" x14ac:dyDescent="0.25">
      <c r="F325" s="1"/>
      <c r="G325" s="6"/>
      <c r="P325" s="1"/>
    </row>
    <row r="326" spans="4:17" hidden="1" x14ac:dyDescent="0.25">
      <c r="F326" s="1"/>
      <c r="G326" s="6"/>
      <c r="P326" s="1"/>
    </row>
    <row r="327" spans="4:17" x14ac:dyDescent="0.25">
      <c r="D327">
        <v>100</v>
      </c>
      <c r="E327">
        <v>4644.0857813466928</v>
      </c>
      <c r="F327" s="21">
        <v>100</v>
      </c>
      <c r="G327" s="6">
        <v>4629.7376382848852</v>
      </c>
      <c r="H327">
        <v>100</v>
      </c>
      <c r="I327">
        <v>4636.8895518086174</v>
      </c>
      <c r="J327">
        <v>100</v>
      </c>
      <c r="K327">
        <v>4637.3665032679737</v>
      </c>
      <c r="L327">
        <v>100</v>
      </c>
      <c r="M327">
        <v>4620.3664719022063</v>
      </c>
      <c r="N327">
        <v>100</v>
      </c>
      <c r="O327">
        <v>4614.6097634427751</v>
      </c>
      <c r="P327" s="21">
        <v>100</v>
      </c>
      <c r="Q327" s="9">
        <f>AVERAGE(E327,G327,I327,K327,M327,O327)</f>
        <v>4630.5092850088586</v>
      </c>
    </row>
  </sheetData>
  <autoFilter ref="D30:Q327" xr:uid="{00000000-0001-0000-0000-000000000000}">
    <filterColumn colId="0">
      <filters>
        <filter val="1"/>
        <filter val="10"/>
        <filter val="100"/>
        <filter val="11"/>
        <filter val="12"/>
        <filter val="13"/>
        <filter val="14"/>
        <filter val="15"/>
        <filter val="16"/>
        <filter val="17"/>
        <filter val="18"/>
        <filter val="19"/>
        <filter val="2"/>
        <filter val="20"/>
        <filter val="21"/>
        <filter val="22"/>
        <filter val="23"/>
        <filter val="24"/>
        <filter val="25"/>
        <filter val="26"/>
        <filter val="27"/>
        <filter val="28"/>
        <filter val="29"/>
        <filter val="3"/>
        <filter val="30"/>
        <filter val="31"/>
        <filter val="32"/>
        <filter val="33"/>
        <filter val="34"/>
        <filter val="35"/>
        <filter val="36"/>
        <filter val="37"/>
        <filter val="38"/>
        <filter val="39"/>
        <filter val="4"/>
        <filter val="40"/>
        <filter val="41"/>
        <filter val="42"/>
        <filter val="43"/>
        <filter val="44"/>
        <filter val="45"/>
        <filter val="46"/>
        <filter val="47"/>
        <filter val="48"/>
        <filter val="49"/>
        <filter val="5"/>
        <filter val="50"/>
        <filter val="51"/>
        <filter val="52"/>
        <filter val="53"/>
        <filter val="54"/>
        <filter val="55"/>
        <filter val="56"/>
        <filter val="57"/>
        <filter val="58"/>
        <filter val="59"/>
        <filter val="6"/>
        <filter val="60"/>
        <filter val="61"/>
        <filter val="62"/>
        <filter val="63"/>
        <filter val="64"/>
        <filter val="65"/>
        <filter val="66"/>
        <filter val="67"/>
        <filter val="68"/>
        <filter val="69"/>
        <filter val="7"/>
        <filter val="70"/>
        <filter val="71"/>
        <filter val="72"/>
        <filter val="73"/>
        <filter val="74"/>
        <filter val="75"/>
        <filter val="76"/>
        <filter val="77"/>
        <filter val="78"/>
        <filter val="79"/>
        <filter val="8"/>
        <filter val="80"/>
        <filter val="81"/>
        <filter val="82"/>
        <filter val="83"/>
        <filter val="84"/>
        <filter val="85"/>
        <filter val="86"/>
        <filter val="87"/>
        <filter val="88"/>
        <filter val="89"/>
        <filter val="9"/>
        <filter val="90"/>
        <filter val="91"/>
        <filter val="92"/>
        <filter val="93"/>
        <filter val="94"/>
        <filter val="95"/>
        <filter val="96"/>
        <filter val="97"/>
        <filter val="98"/>
        <filter val="99"/>
      </filters>
    </filterColumn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All cells together</vt:lpstr>
      <vt:lpstr>Avg. Disch. Cap.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Lausenmeyer, Maximilian</dc:creator>
  <cp:lastModifiedBy>Lausenmeyer, Maximilian</cp:lastModifiedBy>
  <dcterms:created xsi:type="dcterms:W3CDTF">2015-06-05T18:19:34Z</dcterms:created>
  <dcterms:modified xsi:type="dcterms:W3CDTF">2026-02-20T08:50:53Z</dcterms:modified>
</cp:coreProperties>
</file>