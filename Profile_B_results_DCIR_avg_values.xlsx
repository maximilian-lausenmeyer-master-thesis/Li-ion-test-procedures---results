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vartagroup-my.sharepoint.com/personal/maximilian_lausenmeyer_varta-ag_com/Documents/Desktop/Cycles Results 03.02/Profile B - Z100_c,r/Final results - Profile B/"/>
    </mc:Choice>
  </mc:AlternateContent>
  <xr:revisionPtr revIDLastSave="126" documentId="11_AD4DB114E441178AC67DF427C6D6E330683EDF2F" xr6:coauthVersionLast="47" xr6:coauthVersionMax="47" xr10:uidLastSave="{2AC13A57-BB61-4F88-817F-84D625FA8042}"/>
  <bookViews>
    <workbookView xWindow="-12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1" l="1"/>
  <c r="R36" i="1"/>
  <c r="S28" i="1" s="1"/>
  <c r="R35" i="1"/>
  <c r="R34" i="1"/>
  <c r="R33" i="1"/>
  <c r="R32" i="1"/>
  <c r="R31" i="1"/>
  <c r="R30" i="1"/>
  <c r="R29" i="1"/>
  <c r="R28" i="1"/>
  <c r="R27" i="1"/>
  <c r="R26" i="1"/>
  <c r="P27" i="1" l="1"/>
  <c r="P36" i="1" l="1"/>
  <c r="P35" i="1"/>
  <c r="P34" i="1"/>
  <c r="P33" i="1"/>
  <c r="P32" i="1"/>
  <c r="P31" i="1"/>
  <c r="P30" i="1"/>
  <c r="P29" i="1"/>
  <c r="P28" i="1"/>
  <c r="P26" i="1"/>
</calcChain>
</file>

<file path=xl/sharedStrings.xml><?xml version="1.0" encoding="utf-8"?>
<sst xmlns="http://schemas.openxmlformats.org/spreadsheetml/2006/main" count="11" uniqueCount="11">
  <si>
    <t>Avg. Values</t>
  </si>
  <si>
    <t>Init. DCIR</t>
  </si>
  <si>
    <t>Cell #13</t>
  </si>
  <si>
    <t>Cell #14</t>
  </si>
  <si>
    <t>Cell 15</t>
  </si>
  <si>
    <t>Cell #16</t>
  </si>
  <si>
    <t>Cell #17</t>
  </si>
  <si>
    <t>Cell #18</t>
  </si>
  <si>
    <r>
      <t xml:space="preserve">-&gt; Im avg. um </t>
    </r>
    <r>
      <rPr>
        <b/>
        <sz val="10"/>
        <rFont val="Arial"/>
        <family val="2"/>
      </rPr>
      <t>34,6%</t>
    </r>
    <r>
      <rPr>
        <sz val="11"/>
        <color theme="1"/>
        <rFont val="Calibri"/>
        <family val="2"/>
        <scheme val="minor"/>
      </rPr>
      <t xml:space="preserve"> gestiegen!</t>
    </r>
  </si>
  <si>
    <t>Avg. Values ohne #13</t>
  </si>
  <si>
    <t>-&gt; Ohne #13 um 34% gestiegen!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</si>
</sst>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2" fillId="2" borderId="1" xfId="0" applyFont="1" applyFill="1" applyBorder="1"/>
    <xf numFmtId="0" fontId="2" fillId="0" borderId="0" xfId="0" applyFont="1"/>
    <xf numFmtId="0" fontId="0" fillId="2" borderId="0" xfId="0" applyFill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quotePrefix="1" applyFill="1"/>
    <xf numFmtId="0" fontId="0" fillId="3" borderId="0" xfId="0" applyFill="1"/>
    <xf numFmtId="0" fontId="2" fillId="3" borderId="1" xfId="0" applyFont="1" applyFill="1" applyBorder="1"/>
    <xf numFmtId="0" fontId="2" fillId="4" borderId="1" xfId="0" applyFont="1" applyFill="1" applyBorder="1"/>
    <xf numFmtId="0" fontId="1" fillId="0" borderId="0" xfId="0" quotePrefix="1" applyFon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/>
              <a:t>Dynamic load profile B - 100 cycles - DCIR</a:t>
            </a:r>
          </a:p>
        </c:rich>
      </c:tx>
      <c:layout>
        <c:manualLayout>
          <c:xMode val="edge"/>
          <c:yMode val="edge"/>
          <c:x val="0.23307675905356734"/>
          <c:y val="2.2088968666658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scatterChart>
        <c:scatterStyle val="lineMarker"/>
        <c:varyColors val="0"/>
        <c:ser>
          <c:idx val="5"/>
          <c:order val="0"/>
          <c:tx>
            <c:v>cell #13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Tabelle1!$D$26:$D$36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Tabelle1!$E$26:$E$36</c:f>
              <c:numCache>
                <c:formatCode>General</c:formatCode>
                <c:ptCount val="11"/>
                <c:pt idx="0">
                  <c:v>58.5</c:v>
                </c:pt>
                <c:pt idx="1">
                  <c:v>61.11</c:v>
                </c:pt>
                <c:pt idx="2">
                  <c:v>62.56</c:v>
                </c:pt>
                <c:pt idx="3">
                  <c:v>65.099999999999994</c:v>
                </c:pt>
                <c:pt idx="4">
                  <c:v>65.77</c:v>
                </c:pt>
                <c:pt idx="5">
                  <c:v>68.36</c:v>
                </c:pt>
                <c:pt idx="6">
                  <c:v>70.73</c:v>
                </c:pt>
                <c:pt idx="7">
                  <c:v>73.099999999999994</c:v>
                </c:pt>
                <c:pt idx="8">
                  <c:v>75.45</c:v>
                </c:pt>
                <c:pt idx="9">
                  <c:v>77.97</c:v>
                </c:pt>
                <c:pt idx="10">
                  <c:v>80.41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C19-4583-88DB-6EA83AA501A5}"/>
            </c:ext>
          </c:extLst>
        </c:ser>
        <c:ser>
          <c:idx val="0"/>
          <c:order val="1"/>
          <c:tx>
            <c:v>cell #14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Tabelle1!$F$26:$F$36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Tabelle1!$G$26:$G$36</c:f>
              <c:numCache>
                <c:formatCode>General</c:formatCode>
                <c:ptCount val="11"/>
                <c:pt idx="0">
                  <c:v>47.9</c:v>
                </c:pt>
                <c:pt idx="1">
                  <c:v>50.89</c:v>
                </c:pt>
                <c:pt idx="2">
                  <c:v>52.42</c:v>
                </c:pt>
                <c:pt idx="3">
                  <c:v>53.56</c:v>
                </c:pt>
                <c:pt idx="4">
                  <c:v>54.86</c:v>
                </c:pt>
                <c:pt idx="5">
                  <c:v>56.92</c:v>
                </c:pt>
                <c:pt idx="6">
                  <c:v>57.75</c:v>
                </c:pt>
                <c:pt idx="7">
                  <c:v>60.35</c:v>
                </c:pt>
                <c:pt idx="8">
                  <c:v>62.41</c:v>
                </c:pt>
                <c:pt idx="9">
                  <c:v>64.62</c:v>
                </c:pt>
                <c:pt idx="10">
                  <c:v>67.37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C19-4583-88DB-6EA83AA501A5}"/>
            </c:ext>
          </c:extLst>
        </c:ser>
        <c:ser>
          <c:idx val="1"/>
          <c:order val="2"/>
          <c:tx>
            <c:v>cell #15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Tabelle1!$H$26:$H$36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Tabelle1!$I$26:$I$36</c:f>
              <c:numCache>
                <c:formatCode>General</c:formatCode>
                <c:ptCount val="11"/>
                <c:pt idx="0">
                  <c:v>46.1</c:v>
                </c:pt>
                <c:pt idx="1">
                  <c:v>48.6</c:v>
                </c:pt>
                <c:pt idx="2">
                  <c:v>49.67</c:v>
                </c:pt>
                <c:pt idx="3">
                  <c:v>50.89</c:v>
                </c:pt>
                <c:pt idx="4">
                  <c:v>51.66</c:v>
                </c:pt>
                <c:pt idx="5">
                  <c:v>53.41</c:v>
                </c:pt>
                <c:pt idx="6">
                  <c:v>54.1</c:v>
                </c:pt>
                <c:pt idx="7">
                  <c:v>56.16</c:v>
                </c:pt>
                <c:pt idx="8">
                  <c:v>57.99</c:v>
                </c:pt>
                <c:pt idx="9">
                  <c:v>59.13</c:v>
                </c:pt>
                <c:pt idx="10">
                  <c:v>61.12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C19-4583-88DB-6EA83AA501A5}"/>
            </c:ext>
          </c:extLst>
        </c:ser>
        <c:ser>
          <c:idx val="2"/>
          <c:order val="3"/>
          <c:tx>
            <c:v>cell #16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Tabelle1!$J$26:$J$36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Tabelle1!$K$26:$K$36</c:f>
              <c:numCache>
                <c:formatCode>General</c:formatCode>
                <c:ptCount val="11"/>
                <c:pt idx="0">
                  <c:v>44.8</c:v>
                </c:pt>
                <c:pt idx="1">
                  <c:v>47.23</c:v>
                </c:pt>
                <c:pt idx="2">
                  <c:v>48.37</c:v>
                </c:pt>
                <c:pt idx="3">
                  <c:v>49.67</c:v>
                </c:pt>
                <c:pt idx="4">
                  <c:v>50.66</c:v>
                </c:pt>
                <c:pt idx="5">
                  <c:v>51.96</c:v>
                </c:pt>
                <c:pt idx="6">
                  <c:v>52.8</c:v>
                </c:pt>
                <c:pt idx="7">
                  <c:v>54.85</c:v>
                </c:pt>
                <c:pt idx="8">
                  <c:v>56.54</c:v>
                </c:pt>
                <c:pt idx="9">
                  <c:v>57.9</c:v>
                </c:pt>
                <c:pt idx="10">
                  <c:v>59.89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C19-4583-88DB-6EA83AA501A5}"/>
            </c:ext>
          </c:extLst>
        </c:ser>
        <c:ser>
          <c:idx val="3"/>
          <c:order val="4"/>
          <c:tx>
            <c:v>cell #17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Tabelle1!$L$26:$L$36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Tabelle1!$M$26:$M$36</c:f>
              <c:numCache>
                <c:formatCode>General</c:formatCode>
                <c:ptCount val="11"/>
                <c:pt idx="0">
                  <c:v>52.9</c:v>
                </c:pt>
                <c:pt idx="1">
                  <c:v>55.39</c:v>
                </c:pt>
                <c:pt idx="2">
                  <c:v>56.54</c:v>
                </c:pt>
                <c:pt idx="3">
                  <c:v>57.83</c:v>
                </c:pt>
                <c:pt idx="4">
                  <c:v>59.06</c:v>
                </c:pt>
                <c:pt idx="5">
                  <c:v>60.43</c:v>
                </c:pt>
                <c:pt idx="6">
                  <c:v>61.88</c:v>
                </c:pt>
                <c:pt idx="7">
                  <c:v>63.7</c:v>
                </c:pt>
                <c:pt idx="8">
                  <c:v>65.459999999999994</c:v>
                </c:pt>
                <c:pt idx="9">
                  <c:v>67.22</c:v>
                </c:pt>
                <c:pt idx="10">
                  <c:v>68.900000000000006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C19-4583-88DB-6EA83AA501A5}"/>
            </c:ext>
          </c:extLst>
        </c:ser>
        <c:ser>
          <c:idx val="4"/>
          <c:order val="5"/>
          <c:tx>
            <c:v>cell #18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Tabelle1!$N$26:$N$36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Tabelle1!$O$26:$O$36</c:f>
              <c:numCache>
                <c:formatCode>General</c:formatCode>
                <c:ptCount val="11"/>
                <c:pt idx="0">
                  <c:v>50.7</c:v>
                </c:pt>
                <c:pt idx="1">
                  <c:v>53.26</c:v>
                </c:pt>
                <c:pt idx="2">
                  <c:v>54.4</c:v>
                </c:pt>
                <c:pt idx="3">
                  <c:v>55.54</c:v>
                </c:pt>
                <c:pt idx="4">
                  <c:v>57.14</c:v>
                </c:pt>
                <c:pt idx="5">
                  <c:v>58.37</c:v>
                </c:pt>
                <c:pt idx="6">
                  <c:v>59.97</c:v>
                </c:pt>
                <c:pt idx="7">
                  <c:v>61.72</c:v>
                </c:pt>
                <c:pt idx="8">
                  <c:v>63.48</c:v>
                </c:pt>
                <c:pt idx="9">
                  <c:v>65.7</c:v>
                </c:pt>
                <c:pt idx="10">
                  <c:v>67.3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C19-4583-88DB-6EA83AA50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Cycle number</a:t>
                </a:r>
              </a:p>
            </c:rich>
          </c:tx>
          <c:layout>
            <c:manualLayout>
              <c:xMode val="edge"/>
              <c:yMode val="edge"/>
              <c:x val="0.44741009143768529"/>
              <c:y val="0.890714839423460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</c:valAx>
      <c:valAx>
        <c:axId val="1202921167"/>
        <c:scaling>
          <c:orientation val="minMax"/>
          <c:max val="85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DCIR [mR]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/>
              <a:t>Dynamic load profile B - 100 cycles - DCIR</a:t>
            </a:r>
          </a:p>
        </c:rich>
      </c:tx>
      <c:layout>
        <c:manualLayout>
          <c:xMode val="edge"/>
          <c:yMode val="edge"/>
          <c:x val="0.23307675905356734"/>
          <c:y val="2.2088968666658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scatterChart>
        <c:scatterStyle val="lineMarker"/>
        <c:varyColors val="0"/>
        <c:ser>
          <c:idx val="4"/>
          <c:order val="0"/>
          <c:tx>
            <c:v>DCIR avg.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Tabelle1!$N$26:$N$36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Tabelle1!$P$26:$P$36</c:f>
              <c:numCache>
                <c:formatCode>General</c:formatCode>
                <c:ptCount val="11"/>
                <c:pt idx="0">
                  <c:v>50.150000000000006</c:v>
                </c:pt>
                <c:pt idx="1">
                  <c:v>52.746666666666663</c:v>
                </c:pt>
                <c:pt idx="2">
                  <c:v>53.993333333333332</c:v>
                </c:pt>
                <c:pt idx="3">
                  <c:v>55.431666666666672</c:v>
                </c:pt>
                <c:pt idx="4">
                  <c:v>56.524999999999999</c:v>
                </c:pt>
                <c:pt idx="5">
                  <c:v>58.241666666666667</c:v>
                </c:pt>
                <c:pt idx="6">
                  <c:v>59.538333333333334</c:v>
                </c:pt>
                <c:pt idx="7">
                  <c:v>61.646666666666668</c:v>
                </c:pt>
                <c:pt idx="8">
                  <c:v>63.555000000000007</c:v>
                </c:pt>
                <c:pt idx="9">
                  <c:v>65.423333333333332</c:v>
                </c:pt>
                <c:pt idx="10">
                  <c:v>67.498333333333349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254-47C3-9C35-54D6B1DF8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Cycle number</a:t>
                </a:r>
              </a:p>
            </c:rich>
          </c:tx>
          <c:layout>
            <c:manualLayout>
              <c:xMode val="edge"/>
              <c:yMode val="edge"/>
              <c:x val="0.44741009143768529"/>
              <c:y val="0.890714839423460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</c:valAx>
      <c:valAx>
        <c:axId val="1202921167"/>
        <c:scaling>
          <c:orientation val="minMax"/>
          <c:max val="75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DCIR [mR]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9526</xdr:rowOff>
    </xdr:from>
    <xdr:to>
      <xdr:col>15</xdr:col>
      <xdr:colOff>276225</xdr:colOff>
      <xdr:row>21</xdr:row>
      <xdr:rowOff>9525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7362D53E-0529-4D25-AFF3-B1F837E1CA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27</xdr:col>
      <xdr:colOff>356347</xdr:colOff>
      <xdr:row>20</xdr:row>
      <xdr:rowOff>179293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B5CB93CE-D5CF-44AD-9551-C13A476EB3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5:W49"/>
  <sheetViews>
    <sheetView tabSelected="1" topLeftCell="A12" zoomScaleNormal="100" workbookViewId="0">
      <selection activeCell="L42" sqref="L42"/>
    </sheetView>
  </sheetViews>
  <sheetFormatPr baseColWidth="10" defaultColWidth="8.7109375" defaultRowHeight="15" x14ac:dyDescent="0.25"/>
  <cols>
    <col min="9" max="9" width="10" customWidth="1"/>
    <col min="16" max="16" width="12.7109375" customWidth="1"/>
  </cols>
  <sheetData>
    <row r="25" spans="3:23" x14ac:dyDescent="0.25">
      <c r="D25" s="1" t="s">
        <v>2</v>
      </c>
      <c r="E25" s="1"/>
      <c r="F25" s="1" t="s">
        <v>3</v>
      </c>
      <c r="G25" s="1"/>
      <c r="H25" s="1" t="s">
        <v>4</v>
      </c>
      <c r="I25" s="1"/>
      <c r="J25" s="1" t="s">
        <v>5</v>
      </c>
      <c r="K25" s="1"/>
      <c r="L25" s="1" t="s">
        <v>6</v>
      </c>
      <c r="M25" s="1"/>
      <c r="N25" s="1" t="s">
        <v>7</v>
      </c>
      <c r="O25" s="1"/>
      <c r="P25" s="2" t="s">
        <v>0</v>
      </c>
      <c r="Q25" s="10"/>
      <c r="R25" s="9" t="s">
        <v>9</v>
      </c>
      <c r="S25" s="9"/>
      <c r="T25" s="8"/>
    </row>
    <row r="26" spans="3:23" x14ac:dyDescent="0.25">
      <c r="C26" s="3" t="s">
        <v>1</v>
      </c>
      <c r="D26" s="5">
        <v>0</v>
      </c>
      <c r="E26" s="6">
        <v>58.5</v>
      </c>
      <c r="F26" s="5">
        <v>0</v>
      </c>
      <c r="G26" s="6">
        <v>47.9</v>
      </c>
      <c r="H26" s="5">
        <v>0</v>
      </c>
      <c r="I26" s="6">
        <v>46.1</v>
      </c>
      <c r="J26" s="5">
        <v>0</v>
      </c>
      <c r="K26" s="6">
        <v>44.8</v>
      </c>
      <c r="L26" s="5">
        <v>0</v>
      </c>
      <c r="M26" s="6">
        <v>52.9</v>
      </c>
      <c r="N26" s="5">
        <v>0</v>
      </c>
      <c r="O26" s="6">
        <v>50.7</v>
      </c>
      <c r="P26" s="12">
        <f t="shared" ref="P26:P36" si="0">AVERAGE(E26,G26,I26,K26,M26,O26)</f>
        <v>50.150000000000006</v>
      </c>
      <c r="R26">
        <f t="shared" ref="R26:R36" si="1">AVERAGE(G26,I26,K26,M26,O26)</f>
        <v>48.480000000000004</v>
      </c>
    </row>
    <row r="27" spans="3:23" x14ac:dyDescent="0.25">
      <c r="D27" s="5">
        <v>10</v>
      </c>
      <c r="E27" s="5">
        <v>61.11</v>
      </c>
      <c r="F27" s="5">
        <v>10</v>
      </c>
      <c r="G27" s="5">
        <v>50.89</v>
      </c>
      <c r="H27" s="5">
        <v>10</v>
      </c>
      <c r="I27" s="5">
        <v>48.6</v>
      </c>
      <c r="J27" s="5">
        <v>10</v>
      </c>
      <c r="K27" s="5">
        <v>47.23</v>
      </c>
      <c r="L27" s="5">
        <v>10</v>
      </c>
      <c r="M27" s="5">
        <v>55.39</v>
      </c>
      <c r="N27" s="5">
        <v>10</v>
      </c>
      <c r="O27" s="5">
        <v>53.26</v>
      </c>
      <c r="P27">
        <f>AVERAGE(E27,G27,I27,K27,M27,O27)</f>
        <v>52.746666666666663</v>
      </c>
      <c r="R27">
        <f t="shared" si="1"/>
        <v>51.073999999999998</v>
      </c>
    </row>
    <row r="28" spans="3:23" x14ac:dyDescent="0.25">
      <c r="D28" s="5">
        <v>20</v>
      </c>
      <c r="E28" s="5">
        <v>62.56</v>
      </c>
      <c r="F28" s="5">
        <v>20</v>
      </c>
      <c r="G28" s="5">
        <v>52.42</v>
      </c>
      <c r="H28" s="5">
        <v>20</v>
      </c>
      <c r="I28" s="5">
        <v>49.67</v>
      </c>
      <c r="J28" s="5">
        <v>20</v>
      </c>
      <c r="K28" s="5">
        <v>48.37</v>
      </c>
      <c r="L28" s="5">
        <v>20</v>
      </c>
      <c r="M28" s="5">
        <v>56.54</v>
      </c>
      <c r="N28" s="5">
        <v>20</v>
      </c>
      <c r="O28" s="5">
        <v>54.4</v>
      </c>
      <c r="P28">
        <f t="shared" si="0"/>
        <v>53.993333333333332</v>
      </c>
      <c r="R28">
        <f t="shared" si="1"/>
        <v>52.279999999999994</v>
      </c>
      <c r="S28">
        <f>R36/R26</f>
        <v>1.3390264026402638</v>
      </c>
      <c r="T28" s="11" t="s">
        <v>10</v>
      </c>
      <c r="U28" s="12"/>
      <c r="V28" s="12"/>
      <c r="W28" s="12"/>
    </row>
    <row r="29" spans="3:23" x14ac:dyDescent="0.25">
      <c r="D29" s="5">
        <v>30</v>
      </c>
      <c r="E29" s="5">
        <v>65.099999999999994</v>
      </c>
      <c r="F29" s="5">
        <v>30</v>
      </c>
      <c r="G29" s="5">
        <v>53.56</v>
      </c>
      <c r="H29" s="5">
        <v>30</v>
      </c>
      <c r="I29" s="5">
        <v>50.89</v>
      </c>
      <c r="J29" s="5">
        <v>30</v>
      </c>
      <c r="K29" s="5">
        <v>49.67</v>
      </c>
      <c r="L29" s="5">
        <v>30</v>
      </c>
      <c r="M29" s="5">
        <v>57.83</v>
      </c>
      <c r="N29" s="5">
        <v>30</v>
      </c>
      <c r="O29" s="5">
        <v>55.54</v>
      </c>
      <c r="P29">
        <f t="shared" si="0"/>
        <v>55.431666666666672</v>
      </c>
      <c r="R29">
        <f t="shared" si="1"/>
        <v>53.498000000000005</v>
      </c>
    </row>
    <row r="30" spans="3:23" x14ac:dyDescent="0.25">
      <c r="D30" s="5">
        <v>40</v>
      </c>
      <c r="E30" s="5">
        <v>65.77</v>
      </c>
      <c r="F30" s="5">
        <v>40</v>
      </c>
      <c r="G30" s="5">
        <v>54.86</v>
      </c>
      <c r="H30" s="5">
        <v>40</v>
      </c>
      <c r="I30" s="5">
        <v>51.66</v>
      </c>
      <c r="J30" s="5">
        <v>40</v>
      </c>
      <c r="K30" s="5">
        <v>50.66</v>
      </c>
      <c r="L30" s="5">
        <v>40</v>
      </c>
      <c r="M30" s="5">
        <v>59.06</v>
      </c>
      <c r="N30" s="5">
        <v>40</v>
      </c>
      <c r="O30" s="5">
        <v>57.14</v>
      </c>
      <c r="P30">
        <f t="shared" si="0"/>
        <v>56.524999999999999</v>
      </c>
      <c r="R30">
        <f t="shared" si="1"/>
        <v>54.676000000000002</v>
      </c>
    </row>
    <row r="31" spans="3:23" x14ac:dyDescent="0.25">
      <c r="D31" s="5">
        <v>50</v>
      </c>
      <c r="E31" s="5">
        <v>68.36</v>
      </c>
      <c r="F31" s="5">
        <v>50</v>
      </c>
      <c r="G31" s="5">
        <v>56.92</v>
      </c>
      <c r="H31" s="5">
        <v>50</v>
      </c>
      <c r="I31" s="5">
        <v>53.41</v>
      </c>
      <c r="J31" s="5">
        <v>50</v>
      </c>
      <c r="K31" s="5">
        <v>51.96</v>
      </c>
      <c r="L31" s="5">
        <v>50</v>
      </c>
      <c r="M31" s="5">
        <v>60.43</v>
      </c>
      <c r="N31" s="5">
        <v>50</v>
      </c>
      <c r="O31" s="5">
        <v>58.37</v>
      </c>
      <c r="P31">
        <f t="shared" si="0"/>
        <v>58.241666666666667</v>
      </c>
      <c r="R31">
        <f t="shared" si="1"/>
        <v>56.217999999999996</v>
      </c>
    </row>
    <row r="32" spans="3:23" x14ac:dyDescent="0.25">
      <c r="D32" s="5">
        <v>60</v>
      </c>
      <c r="E32" s="5">
        <v>70.73</v>
      </c>
      <c r="F32" s="5">
        <v>60</v>
      </c>
      <c r="G32" s="5">
        <v>57.75</v>
      </c>
      <c r="H32" s="5">
        <v>60</v>
      </c>
      <c r="I32" s="5">
        <v>54.1</v>
      </c>
      <c r="J32" s="5">
        <v>60</v>
      </c>
      <c r="K32" s="5">
        <v>52.8</v>
      </c>
      <c r="L32" s="5">
        <v>60</v>
      </c>
      <c r="M32" s="5">
        <v>61.88</v>
      </c>
      <c r="N32" s="5">
        <v>60</v>
      </c>
      <c r="O32" s="5">
        <v>59.97</v>
      </c>
      <c r="P32">
        <f t="shared" si="0"/>
        <v>59.538333333333334</v>
      </c>
      <c r="R32">
        <f t="shared" si="1"/>
        <v>57.3</v>
      </c>
    </row>
    <row r="33" spans="4:18" x14ac:dyDescent="0.25">
      <c r="D33" s="5">
        <v>70</v>
      </c>
      <c r="E33" s="5">
        <v>73.099999999999994</v>
      </c>
      <c r="F33" s="5">
        <v>70</v>
      </c>
      <c r="G33" s="5">
        <v>60.35</v>
      </c>
      <c r="H33" s="5">
        <v>70</v>
      </c>
      <c r="I33" s="5">
        <v>56.16</v>
      </c>
      <c r="J33" s="5">
        <v>70</v>
      </c>
      <c r="K33" s="5">
        <v>54.85</v>
      </c>
      <c r="L33" s="5">
        <v>70</v>
      </c>
      <c r="M33" s="5">
        <v>63.7</v>
      </c>
      <c r="N33" s="5">
        <v>70</v>
      </c>
      <c r="O33" s="5">
        <v>61.72</v>
      </c>
      <c r="P33">
        <f t="shared" si="0"/>
        <v>61.646666666666668</v>
      </c>
      <c r="R33">
        <f t="shared" si="1"/>
        <v>59.355999999999995</v>
      </c>
    </row>
    <row r="34" spans="4:18" x14ac:dyDescent="0.25">
      <c r="D34" s="5">
        <v>80</v>
      </c>
      <c r="E34" s="5">
        <v>75.45</v>
      </c>
      <c r="F34" s="5">
        <v>80</v>
      </c>
      <c r="G34" s="5">
        <v>62.41</v>
      </c>
      <c r="H34" s="5">
        <v>80</v>
      </c>
      <c r="I34" s="5">
        <v>57.99</v>
      </c>
      <c r="J34" s="5">
        <v>80</v>
      </c>
      <c r="K34" s="5">
        <v>56.54</v>
      </c>
      <c r="L34" s="5">
        <v>80</v>
      </c>
      <c r="M34" s="5">
        <v>65.459999999999994</v>
      </c>
      <c r="N34" s="5">
        <v>80</v>
      </c>
      <c r="O34" s="5">
        <v>63.48</v>
      </c>
      <c r="P34">
        <f t="shared" si="0"/>
        <v>63.555000000000007</v>
      </c>
      <c r="R34">
        <f t="shared" si="1"/>
        <v>61.176000000000002</v>
      </c>
    </row>
    <row r="35" spans="4:18" x14ac:dyDescent="0.25">
      <c r="D35" s="5">
        <v>90</v>
      </c>
      <c r="E35" s="5">
        <v>77.97</v>
      </c>
      <c r="F35" s="5">
        <v>90</v>
      </c>
      <c r="G35" s="5">
        <v>64.62</v>
      </c>
      <c r="H35" s="5">
        <v>90</v>
      </c>
      <c r="I35" s="5">
        <v>59.13</v>
      </c>
      <c r="J35" s="5">
        <v>90</v>
      </c>
      <c r="K35" s="5">
        <v>57.9</v>
      </c>
      <c r="L35" s="5">
        <v>90</v>
      </c>
      <c r="M35" s="5">
        <v>67.22</v>
      </c>
      <c r="N35" s="5">
        <v>90</v>
      </c>
      <c r="O35" s="5">
        <v>65.7</v>
      </c>
      <c r="P35">
        <f t="shared" si="0"/>
        <v>65.423333333333332</v>
      </c>
      <c r="R35">
        <f t="shared" si="1"/>
        <v>62.914000000000001</v>
      </c>
    </row>
    <row r="36" spans="4:18" x14ac:dyDescent="0.25">
      <c r="D36" s="5">
        <v>100</v>
      </c>
      <c r="E36" s="5">
        <v>80.41</v>
      </c>
      <c r="F36" s="5">
        <v>100</v>
      </c>
      <c r="G36" s="5">
        <v>67.37</v>
      </c>
      <c r="H36" s="5">
        <v>100</v>
      </c>
      <c r="I36" s="5">
        <v>61.12</v>
      </c>
      <c r="J36" s="5">
        <v>100</v>
      </c>
      <c r="K36" s="5">
        <v>59.89</v>
      </c>
      <c r="L36" s="5">
        <v>100</v>
      </c>
      <c r="M36" s="5">
        <v>68.900000000000006</v>
      </c>
      <c r="N36" s="5">
        <v>100</v>
      </c>
      <c r="O36" s="5">
        <v>67.3</v>
      </c>
      <c r="P36" s="12">
        <f t="shared" si="0"/>
        <v>67.498333333333349</v>
      </c>
      <c r="R36">
        <f t="shared" si="1"/>
        <v>64.915999999999997</v>
      </c>
    </row>
    <row r="37" spans="4:18" x14ac:dyDescent="0.25">
      <c r="D37" s="1"/>
      <c r="E37" s="1"/>
    </row>
    <row r="39" spans="4:18" x14ac:dyDescent="0.25">
      <c r="I39" s="7" t="s">
        <v>8</v>
      </c>
      <c r="J39" s="8"/>
      <c r="K39" s="8"/>
      <c r="P39">
        <v>50.15</v>
      </c>
    </row>
    <row r="40" spans="4:18" x14ac:dyDescent="0.25">
      <c r="P40">
        <v>52.75</v>
      </c>
    </row>
    <row r="41" spans="4:18" x14ac:dyDescent="0.25">
      <c r="I41" s="4">
        <f>67.5/50.15</f>
        <v>1.345962113659023</v>
      </c>
      <c r="P41">
        <v>53.99</v>
      </c>
    </row>
    <row r="42" spans="4:18" x14ac:dyDescent="0.25">
      <c r="P42">
        <v>55.43</v>
      </c>
    </row>
    <row r="43" spans="4:18" x14ac:dyDescent="0.25">
      <c r="P43">
        <v>56.53</v>
      </c>
    </row>
    <row r="44" spans="4:18" x14ac:dyDescent="0.25">
      <c r="P44">
        <v>58.24</v>
      </c>
    </row>
    <row r="45" spans="4:18" x14ac:dyDescent="0.25">
      <c r="P45">
        <v>59.54</v>
      </c>
    </row>
    <row r="46" spans="4:18" x14ac:dyDescent="0.25">
      <c r="P46">
        <v>61.65</v>
      </c>
    </row>
    <row r="47" spans="4:18" x14ac:dyDescent="0.25">
      <c r="P47">
        <v>63.56</v>
      </c>
    </row>
    <row r="48" spans="4:18" x14ac:dyDescent="0.25">
      <c r="P48">
        <v>65.42</v>
      </c>
    </row>
    <row r="49" spans="16:16" x14ac:dyDescent="0.25">
      <c r="P49">
        <v>67.5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Lausenmeyer, Maximilian</dc:creator>
  <cp:lastModifiedBy>Lausenmeyer, Maximilian</cp:lastModifiedBy>
  <dcterms:created xsi:type="dcterms:W3CDTF">2015-06-05T18:19:34Z</dcterms:created>
  <dcterms:modified xsi:type="dcterms:W3CDTF">2026-02-17T13:55:21Z</dcterms:modified>
</cp:coreProperties>
</file>