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C - Z100_c,r/Final results - Profile C/"/>
    </mc:Choice>
  </mc:AlternateContent>
  <xr:revisionPtr revIDLastSave="72" documentId="11_AD4DB114E441178AC67DF427C6D6E330683EDF2F" xr6:coauthVersionLast="47" xr6:coauthVersionMax="47" xr10:uidLastSave="{C0458436-583B-4430-B7E9-6D7596543E02}"/>
  <bookViews>
    <workbookView minimized="1" xWindow="1480" yWindow="1480" windowWidth="14400" windowHeight="82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1" l="1"/>
  <c r="S35" i="1"/>
  <c r="S34" i="1"/>
  <c r="S33" i="1"/>
  <c r="S32" i="1"/>
  <c r="S31" i="1"/>
  <c r="S30" i="1"/>
  <c r="S29" i="1"/>
  <c r="S28" i="1"/>
  <c r="S27" i="1"/>
  <c r="S26" i="1"/>
  <c r="S25" i="1"/>
</calcChain>
</file>

<file path=xl/sharedStrings.xml><?xml version="1.0" encoding="utf-8"?>
<sst xmlns="http://schemas.openxmlformats.org/spreadsheetml/2006/main" count="9" uniqueCount="9">
  <si>
    <t>Avg. Values</t>
  </si>
  <si>
    <t>Init. DCIR</t>
  </si>
  <si>
    <t>Cell #19</t>
  </si>
  <si>
    <t>Cell #20</t>
  </si>
  <si>
    <t>Cell #21</t>
  </si>
  <si>
    <t>Cell #22</t>
  </si>
  <si>
    <t>Cell #23</t>
  </si>
  <si>
    <t>Cell #24</t>
  </si>
  <si>
    <t>Im avg. um 38,5% gestiegen!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</si>
</sst>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3" borderId="1" xfId="0" applyFont="1" applyFill="1" applyBorder="1"/>
    <xf numFmtId="0" fontId="2" fillId="4" borderId="0" xfId="0" quotePrefix="1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Dynamic load profile C - 100 cycles - DCIR</a:t>
            </a:r>
          </a:p>
        </c:rich>
      </c:tx>
      <c:layout>
        <c:manualLayout>
          <c:xMode val="edge"/>
          <c:yMode val="edge"/>
          <c:x val="0.22726324358342911"/>
          <c:y val="1.8580048984716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cell #19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Tabelle1!$H$25:$H$35</c:f>
              <c:numCache>
                <c:formatCode>General</c:formatCode>
                <c:ptCount val="11"/>
                <c:pt idx="0">
                  <c:v>46.8</c:v>
                </c:pt>
                <c:pt idx="1">
                  <c:v>49.13592492263583</c:v>
                </c:pt>
                <c:pt idx="2">
                  <c:v>50.357653791031971</c:v>
                </c:pt>
                <c:pt idx="3">
                  <c:v>51.575494010749907</c:v>
                </c:pt>
                <c:pt idx="4">
                  <c:v>52.797222804973522</c:v>
                </c:pt>
                <c:pt idx="5">
                  <c:v>54.400488307355779</c:v>
                </c:pt>
                <c:pt idx="6">
                  <c:v>56.080114449103824</c:v>
                </c:pt>
                <c:pt idx="7">
                  <c:v>57.757601190253013</c:v>
                </c:pt>
                <c:pt idx="8">
                  <c:v>59.743628872455673</c:v>
                </c:pt>
                <c:pt idx="9">
                  <c:v>61.114714073150708</c:v>
                </c:pt>
                <c:pt idx="10">
                  <c:v>63.327356655304655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8F-4E70-9FE1-5432AD39EEFB}"/>
            </c:ext>
          </c:extLst>
        </c:ser>
        <c:ser>
          <c:idx val="0"/>
          <c:order val="1"/>
          <c:tx>
            <c:v>cell #20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Tabelle1!$J$25:$J$35</c:f>
              <c:numCache>
                <c:formatCode>General</c:formatCode>
                <c:ptCount val="11"/>
                <c:pt idx="0">
                  <c:v>46.2</c:v>
                </c:pt>
                <c:pt idx="1">
                  <c:v>48.599984741000149</c:v>
                </c:pt>
                <c:pt idx="2">
                  <c:v>49.747257987621033</c:v>
                </c:pt>
                <c:pt idx="3">
                  <c:v>51.194018463499923</c:v>
                </c:pt>
                <c:pt idx="4">
                  <c:v>52.491035324500054</c:v>
                </c:pt>
                <c:pt idx="5">
                  <c:v>53.865374711665304</c:v>
                </c:pt>
                <c:pt idx="6">
                  <c:v>55.69755464826482</c:v>
                </c:pt>
                <c:pt idx="7">
                  <c:v>57.298720125281157</c:v>
                </c:pt>
                <c:pt idx="8">
                  <c:v>59.132093466908728</c:v>
                </c:pt>
                <c:pt idx="9">
                  <c:v>60.656925952653189</c:v>
                </c:pt>
                <c:pt idx="10">
                  <c:v>62.715776222253204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B-4EDB-831E-85B7838516EA}"/>
            </c:ext>
          </c:extLst>
        </c:ser>
        <c:ser>
          <c:idx val="1"/>
          <c:order val="2"/>
          <c:tx>
            <c:v>cell #21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Tabelle1!$L$25:$L$35</c:f>
              <c:numCache>
                <c:formatCode>General</c:formatCode>
                <c:ptCount val="11"/>
                <c:pt idx="0">
                  <c:v>46.6</c:v>
                </c:pt>
                <c:pt idx="1">
                  <c:v>48.983328882469984</c:v>
                </c:pt>
                <c:pt idx="2">
                  <c:v>50.43395326673955</c:v>
                </c:pt>
                <c:pt idx="3">
                  <c:v>51.50116354470557</c:v>
                </c:pt>
                <c:pt idx="4">
                  <c:v>53.178705628791981</c:v>
                </c:pt>
                <c:pt idx="5">
                  <c:v>54.554124940451345</c:v>
                </c:pt>
                <c:pt idx="6">
                  <c:v>56.460534849093925</c:v>
                </c:pt>
                <c:pt idx="7">
                  <c:v>58.139091290417596</c:v>
                </c:pt>
                <c:pt idx="8">
                  <c:v>59.971387696692503</c:v>
                </c:pt>
                <c:pt idx="9">
                  <c:v>61.573676681052639</c:v>
                </c:pt>
                <c:pt idx="10">
                  <c:v>63.63012130925005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6B-4EDB-831E-85B7838516EA}"/>
            </c:ext>
          </c:extLst>
        </c:ser>
        <c:ser>
          <c:idx val="2"/>
          <c:order val="3"/>
          <c:tx>
            <c:v>cell #22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Tabelle1!$N$25:$N$35</c:f>
              <c:numCache>
                <c:formatCode>General</c:formatCode>
                <c:ptCount val="11"/>
                <c:pt idx="0">
                  <c:v>48.4</c:v>
                </c:pt>
                <c:pt idx="1">
                  <c:v>50.816419960324552</c:v>
                </c:pt>
                <c:pt idx="2">
                  <c:v>52.342438577831956</c:v>
                </c:pt>
                <c:pt idx="3">
                  <c:v>53.63648501712413</c:v>
                </c:pt>
                <c:pt idx="4">
                  <c:v>55.009823182870669</c:v>
                </c:pt>
                <c:pt idx="5">
                  <c:v>56.384236829011023</c:v>
                </c:pt>
                <c:pt idx="6">
                  <c:v>58.291687330833469</c:v>
                </c:pt>
                <c:pt idx="7">
                  <c:v>59.815365835000037</c:v>
                </c:pt>
                <c:pt idx="8">
                  <c:v>61.723920880575278</c:v>
                </c:pt>
                <c:pt idx="9">
                  <c:v>63.406073554323747</c:v>
                </c:pt>
                <c:pt idx="10">
                  <c:v>65.467447494342878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6B-4EDB-831E-85B7838516EA}"/>
            </c:ext>
          </c:extLst>
        </c:ser>
        <c:ser>
          <c:idx val="3"/>
          <c:order val="4"/>
          <c:tx>
            <c:v>cell #23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Tabelle1!$P$25:$P$35</c:f>
              <c:numCache>
                <c:formatCode>General</c:formatCode>
                <c:ptCount val="11"/>
                <c:pt idx="0">
                  <c:v>48.7</c:v>
                </c:pt>
                <c:pt idx="1">
                  <c:v>51.575494010749907</c:v>
                </c:pt>
                <c:pt idx="2">
                  <c:v>53.481851647068346</c:v>
                </c:pt>
                <c:pt idx="3">
                  <c:v>55.009823182620529</c:v>
                </c:pt>
                <c:pt idx="4">
                  <c:v>56.612051042408176</c:v>
                </c:pt>
                <c:pt idx="5">
                  <c:v>58.216499761417268</c:v>
                </c:pt>
                <c:pt idx="6">
                  <c:v>60.730907148999883</c:v>
                </c:pt>
                <c:pt idx="7">
                  <c:v>62.714579995500031</c:v>
                </c:pt>
                <c:pt idx="8">
                  <c:v>65.007153075895872</c:v>
                </c:pt>
                <c:pt idx="9">
                  <c:v>67.447449738781074</c:v>
                </c:pt>
                <c:pt idx="10">
                  <c:v>69.890319504183736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6B-4EDB-831E-85B7838516EA}"/>
            </c:ext>
          </c:extLst>
        </c:ser>
        <c:ser>
          <c:idx val="5"/>
          <c:order val="5"/>
          <c:tx>
            <c:v>cell #24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Tabelle1!$R$25:$R$35</c:f>
              <c:numCache>
                <c:formatCode>General</c:formatCode>
                <c:ptCount val="11"/>
                <c:pt idx="0">
                  <c:v>48.9</c:v>
                </c:pt>
                <c:pt idx="1">
                  <c:v>52.109559777249956</c:v>
                </c:pt>
                <c:pt idx="2">
                  <c:v>53.942700187108265</c:v>
                </c:pt>
                <c:pt idx="3">
                  <c:v>55.543899135966413</c:v>
                </c:pt>
                <c:pt idx="4">
                  <c:v>57.376111090088671</c:v>
                </c:pt>
                <c:pt idx="5">
                  <c:v>59.130965551495251</c:v>
                </c:pt>
                <c:pt idx="6">
                  <c:v>61.498550282376954</c:v>
                </c:pt>
                <c:pt idx="7">
                  <c:v>63.63254873538618</c:v>
                </c:pt>
                <c:pt idx="8">
                  <c:v>65.770147830222115</c:v>
                </c:pt>
                <c:pt idx="9">
                  <c:v>68.361722013516513</c:v>
                </c:pt>
                <c:pt idx="10">
                  <c:v>70.658705480673476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6B-4EDB-831E-85B78385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Dynamic load profile C - 100 cycles - DCIR avg</a:t>
            </a:r>
            <a:r>
              <a:rPr lang="pt-BR"/>
              <a:t>.</a:t>
            </a:r>
          </a:p>
        </c:rich>
      </c:tx>
      <c:layout>
        <c:manualLayout>
          <c:xMode val="edge"/>
          <c:yMode val="edge"/>
          <c:x val="0.21656487916938674"/>
          <c:y val="1.8580048984716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DCIR avg.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Tabelle1!$S$25:$S$35</c:f>
              <c:numCache>
                <c:formatCode>General</c:formatCode>
                <c:ptCount val="11"/>
                <c:pt idx="0">
                  <c:v>47.599999999999994</c:v>
                </c:pt>
                <c:pt idx="1">
                  <c:v>50.203452049071736</c:v>
                </c:pt>
                <c:pt idx="2">
                  <c:v>51.717642576233516</c:v>
                </c:pt>
                <c:pt idx="3">
                  <c:v>53.076813892444413</c:v>
                </c:pt>
                <c:pt idx="4">
                  <c:v>54.577491512272182</c:v>
                </c:pt>
                <c:pt idx="5">
                  <c:v>56.091948350232663</c:v>
                </c:pt>
                <c:pt idx="6">
                  <c:v>58.126558118112143</c:v>
                </c:pt>
                <c:pt idx="7">
                  <c:v>59.89298452863968</c:v>
                </c:pt>
                <c:pt idx="8">
                  <c:v>61.891388637125033</c:v>
                </c:pt>
                <c:pt idx="9">
                  <c:v>63.76009366891298</c:v>
                </c:pt>
                <c:pt idx="10">
                  <c:v>65.948287777668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D-41F0-A5A2-412EC5019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339271</xdr:colOff>
      <xdr:row>21</xdr:row>
      <xdr:rowOff>9070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A377F3C-40D1-496A-A826-2C18AC606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139246</xdr:colOff>
      <xdr:row>1</xdr:row>
      <xdr:rowOff>19049</xdr:rowOff>
    </xdr:from>
    <xdr:to>
      <xdr:col>26</xdr:col>
      <xdr:colOff>514803</xdr:colOff>
      <xdr:row>21</xdr:row>
      <xdr:rowOff>28119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863C695-E614-4F22-BC80-BF85079F8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4:X35"/>
  <sheetViews>
    <sheetView tabSelected="1" topLeftCell="M16" zoomScale="135" zoomScaleNormal="100" workbookViewId="0">
      <selection activeCell="S35" sqref="S35"/>
    </sheetView>
  </sheetViews>
  <sheetFormatPr baseColWidth="10" defaultColWidth="8.7265625" defaultRowHeight="14.5" x14ac:dyDescent="0.35"/>
  <cols>
    <col min="19" max="19" width="12.7265625" customWidth="1"/>
  </cols>
  <sheetData>
    <row r="24" spans="6:24" x14ac:dyDescent="0.35">
      <c r="G24" s="1" t="s">
        <v>2</v>
      </c>
      <c r="H24" s="1"/>
      <c r="I24" s="1" t="s">
        <v>3</v>
      </c>
      <c r="J24" s="1"/>
      <c r="K24" s="1" t="s">
        <v>4</v>
      </c>
      <c r="L24" s="1"/>
      <c r="M24" s="1" t="s">
        <v>5</v>
      </c>
      <c r="N24" s="1"/>
      <c r="O24" s="1" t="s">
        <v>6</v>
      </c>
      <c r="P24" s="1"/>
      <c r="Q24" s="1" t="s">
        <v>7</v>
      </c>
      <c r="R24" s="1"/>
      <c r="S24" s="5" t="s">
        <v>0</v>
      </c>
    </row>
    <row r="25" spans="6:24" x14ac:dyDescent="0.35">
      <c r="F25" s="2" t="s">
        <v>1</v>
      </c>
      <c r="G25" s="3">
        <v>0</v>
      </c>
      <c r="H25" s="4">
        <v>46.8</v>
      </c>
      <c r="I25" s="3">
        <v>0</v>
      </c>
      <c r="J25" s="4">
        <v>46.2</v>
      </c>
      <c r="K25" s="3">
        <v>0</v>
      </c>
      <c r="L25" s="4">
        <v>46.6</v>
      </c>
      <c r="M25" s="3">
        <v>0</v>
      </c>
      <c r="N25" s="4">
        <v>48.4</v>
      </c>
      <c r="O25" s="3">
        <v>0</v>
      </c>
      <c r="P25" s="4">
        <v>48.7</v>
      </c>
      <c r="Q25" s="3">
        <v>0</v>
      </c>
      <c r="R25" s="4">
        <v>48.9</v>
      </c>
      <c r="S25">
        <f t="shared" ref="S25:S35" si="0">AVERAGE(H25,J25,L25,N25,P25,R25)</f>
        <v>47.599999999999994</v>
      </c>
      <c r="U25" s="6" t="s">
        <v>8</v>
      </c>
      <c r="V25" s="7"/>
      <c r="W25" s="7"/>
      <c r="X25" s="7"/>
    </row>
    <row r="26" spans="6:24" x14ac:dyDescent="0.35">
      <c r="G26" s="3">
        <v>10</v>
      </c>
      <c r="H26" s="3">
        <v>49.13592492263583</v>
      </c>
      <c r="I26" s="3">
        <v>10</v>
      </c>
      <c r="J26" s="3">
        <v>48.599984741000149</v>
      </c>
      <c r="K26" s="3">
        <v>10</v>
      </c>
      <c r="L26" s="3">
        <v>48.983328882469984</v>
      </c>
      <c r="M26" s="3">
        <v>10</v>
      </c>
      <c r="N26" s="3">
        <v>50.816419960324552</v>
      </c>
      <c r="O26" s="3">
        <v>10</v>
      </c>
      <c r="P26" s="3">
        <v>51.575494010749907</v>
      </c>
      <c r="Q26" s="3">
        <v>10</v>
      </c>
      <c r="R26" s="3">
        <v>52.109559777249956</v>
      </c>
      <c r="S26">
        <f t="shared" si="0"/>
        <v>50.203452049071736</v>
      </c>
    </row>
    <row r="27" spans="6:24" x14ac:dyDescent="0.35">
      <c r="G27" s="3">
        <v>20</v>
      </c>
      <c r="H27" s="3">
        <v>50.357653791031971</v>
      </c>
      <c r="I27" s="3">
        <v>20</v>
      </c>
      <c r="J27" s="3">
        <v>49.747257987621033</v>
      </c>
      <c r="K27" s="3">
        <v>20</v>
      </c>
      <c r="L27" s="3">
        <v>50.43395326673955</v>
      </c>
      <c r="M27" s="3">
        <v>20</v>
      </c>
      <c r="N27" s="3">
        <v>52.342438577831956</v>
      </c>
      <c r="O27" s="3">
        <v>20</v>
      </c>
      <c r="P27" s="3">
        <v>53.481851647068346</v>
      </c>
      <c r="Q27" s="3">
        <v>20</v>
      </c>
      <c r="R27" s="3">
        <v>53.942700187108265</v>
      </c>
      <c r="S27">
        <f t="shared" si="0"/>
        <v>51.717642576233516</v>
      </c>
    </row>
    <row r="28" spans="6:24" x14ac:dyDescent="0.35">
      <c r="G28" s="3">
        <v>30</v>
      </c>
      <c r="H28" s="3">
        <v>51.575494010749907</v>
      </c>
      <c r="I28" s="3">
        <v>30</v>
      </c>
      <c r="J28" s="3">
        <v>51.194018463499923</v>
      </c>
      <c r="K28" s="3">
        <v>30</v>
      </c>
      <c r="L28" s="3">
        <v>51.50116354470557</v>
      </c>
      <c r="M28" s="3">
        <v>30</v>
      </c>
      <c r="N28" s="3">
        <v>53.63648501712413</v>
      </c>
      <c r="O28" s="3">
        <v>30</v>
      </c>
      <c r="P28" s="3">
        <v>55.009823182620529</v>
      </c>
      <c r="Q28" s="3">
        <v>30</v>
      </c>
      <c r="R28" s="3">
        <v>55.543899135966413</v>
      </c>
      <c r="S28">
        <f t="shared" si="0"/>
        <v>53.076813892444413</v>
      </c>
      <c r="U28">
        <f>S35/S25</f>
        <v>1.3854682306232775</v>
      </c>
    </row>
    <row r="29" spans="6:24" x14ac:dyDescent="0.35">
      <c r="G29" s="3">
        <v>40</v>
      </c>
      <c r="H29" s="3">
        <v>52.797222804973522</v>
      </c>
      <c r="I29" s="3">
        <v>40</v>
      </c>
      <c r="J29" s="3">
        <v>52.491035324500054</v>
      </c>
      <c r="K29" s="3">
        <v>40</v>
      </c>
      <c r="L29" s="3">
        <v>53.178705628791981</v>
      </c>
      <c r="M29" s="3">
        <v>40</v>
      </c>
      <c r="N29" s="3">
        <v>55.009823182870669</v>
      </c>
      <c r="O29" s="3">
        <v>40</v>
      </c>
      <c r="P29" s="3">
        <v>56.612051042408176</v>
      </c>
      <c r="Q29" s="3">
        <v>40</v>
      </c>
      <c r="R29" s="3">
        <v>57.376111090088671</v>
      </c>
      <c r="S29">
        <f t="shared" si="0"/>
        <v>54.577491512272182</v>
      </c>
    </row>
    <row r="30" spans="6:24" x14ac:dyDescent="0.35">
      <c r="G30" s="3">
        <v>50</v>
      </c>
      <c r="H30" s="3">
        <v>54.400488307355779</v>
      </c>
      <c r="I30" s="3">
        <v>50</v>
      </c>
      <c r="J30" s="3">
        <v>53.865374711665304</v>
      </c>
      <c r="K30" s="3">
        <v>50</v>
      </c>
      <c r="L30" s="3">
        <v>54.554124940451345</v>
      </c>
      <c r="M30" s="3">
        <v>50</v>
      </c>
      <c r="N30" s="3">
        <v>56.384236829011023</v>
      </c>
      <c r="O30" s="3">
        <v>50</v>
      </c>
      <c r="P30" s="3">
        <v>58.216499761417268</v>
      </c>
      <c r="Q30" s="3">
        <v>50</v>
      </c>
      <c r="R30" s="3">
        <v>59.130965551495251</v>
      </c>
      <c r="S30">
        <f t="shared" si="0"/>
        <v>56.091948350232663</v>
      </c>
    </row>
    <row r="31" spans="6:24" x14ac:dyDescent="0.35">
      <c r="G31" s="3">
        <v>60</v>
      </c>
      <c r="H31" s="3">
        <v>56.080114449103824</v>
      </c>
      <c r="I31" s="3">
        <v>60</v>
      </c>
      <c r="J31" s="3">
        <v>55.69755464826482</v>
      </c>
      <c r="K31" s="3">
        <v>60</v>
      </c>
      <c r="L31" s="3">
        <v>56.460534849093925</v>
      </c>
      <c r="M31" s="3">
        <v>60</v>
      </c>
      <c r="N31" s="3">
        <v>58.291687330833469</v>
      </c>
      <c r="O31" s="3">
        <v>60</v>
      </c>
      <c r="P31" s="3">
        <v>60.730907148999883</v>
      </c>
      <c r="Q31" s="3">
        <v>60</v>
      </c>
      <c r="R31" s="3">
        <v>61.498550282376954</v>
      </c>
      <c r="S31">
        <f t="shared" si="0"/>
        <v>58.126558118112143</v>
      </c>
    </row>
    <row r="32" spans="6:24" x14ac:dyDescent="0.35">
      <c r="G32" s="3">
        <v>70</v>
      </c>
      <c r="H32" s="3">
        <v>57.757601190253013</v>
      </c>
      <c r="I32" s="3">
        <v>70</v>
      </c>
      <c r="J32" s="3">
        <v>57.298720125281157</v>
      </c>
      <c r="K32" s="3">
        <v>70</v>
      </c>
      <c r="L32" s="3">
        <v>58.139091290417596</v>
      </c>
      <c r="M32" s="3">
        <v>70</v>
      </c>
      <c r="N32" s="3">
        <v>59.815365835000037</v>
      </c>
      <c r="O32" s="3">
        <v>70</v>
      </c>
      <c r="P32" s="3">
        <v>62.714579995500031</v>
      </c>
      <c r="Q32" s="3">
        <v>70</v>
      </c>
      <c r="R32" s="3">
        <v>63.63254873538618</v>
      </c>
      <c r="S32">
        <f t="shared" si="0"/>
        <v>59.89298452863968</v>
      </c>
    </row>
    <row r="33" spans="7:19" x14ac:dyDescent="0.35">
      <c r="G33" s="3">
        <v>80</v>
      </c>
      <c r="H33" s="3">
        <v>59.743628872455673</v>
      </c>
      <c r="I33" s="3">
        <v>80</v>
      </c>
      <c r="J33" s="3">
        <v>59.132093466908728</v>
      </c>
      <c r="K33" s="3">
        <v>80</v>
      </c>
      <c r="L33" s="3">
        <v>59.971387696692503</v>
      </c>
      <c r="M33" s="3">
        <v>80</v>
      </c>
      <c r="N33" s="3">
        <v>61.723920880575278</v>
      </c>
      <c r="O33" s="3">
        <v>80</v>
      </c>
      <c r="P33" s="3">
        <v>65.007153075895872</v>
      </c>
      <c r="Q33" s="3">
        <v>80</v>
      </c>
      <c r="R33" s="3">
        <v>65.770147830222115</v>
      </c>
      <c r="S33">
        <f t="shared" si="0"/>
        <v>61.891388637125033</v>
      </c>
    </row>
    <row r="34" spans="7:19" x14ac:dyDescent="0.35">
      <c r="G34" s="3">
        <v>90</v>
      </c>
      <c r="H34" s="3">
        <v>61.114714073150708</v>
      </c>
      <c r="I34" s="3">
        <v>90</v>
      </c>
      <c r="J34" s="3">
        <v>60.656925952653189</v>
      </c>
      <c r="K34" s="3">
        <v>90</v>
      </c>
      <c r="L34" s="3">
        <v>61.573676681052639</v>
      </c>
      <c r="M34" s="3">
        <v>90</v>
      </c>
      <c r="N34" s="3">
        <v>63.406073554323747</v>
      </c>
      <c r="O34" s="3">
        <v>90</v>
      </c>
      <c r="P34" s="3">
        <v>67.447449738781074</v>
      </c>
      <c r="Q34" s="3">
        <v>90</v>
      </c>
      <c r="R34" s="3">
        <v>68.361722013516513</v>
      </c>
      <c r="S34">
        <f t="shared" si="0"/>
        <v>63.76009366891298</v>
      </c>
    </row>
    <row r="35" spans="7:19" x14ac:dyDescent="0.35">
      <c r="G35" s="3">
        <v>100</v>
      </c>
      <c r="H35" s="3">
        <v>63.327356655304655</v>
      </c>
      <c r="I35" s="3">
        <v>100</v>
      </c>
      <c r="J35" s="3">
        <v>62.715776222253204</v>
      </c>
      <c r="K35" s="3">
        <v>100</v>
      </c>
      <c r="L35" s="3">
        <v>63.63012130925005</v>
      </c>
      <c r="M35" s="3">
        <v>100</v>
      </c>
      <c r="N35" s="3">
        <v>65.467447494342878</v>
      </c>
      <c r="O35" s="3">
        <v>100</v>
      </c>
      <c r="P35" s="3">
        <v>69.890319504183736</v>
      </c>
      <c r="Q35" s="3">
        <v>100</v>
      </c>
      <c r="R35" s="3">
        <v>70.658705480673476</v>
      </c>
      <c r="S35">
        <f t="shared" si="0"/>
        <v>65.948287777668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2015-06-05T18:19:34Z</dcterms:created>
  <dcterms:modified xsi:type="dcterms:W3CDTF">2026-02-17T14:54:24Z</dcterms:modified>
</cp:coreProperties>
</file>