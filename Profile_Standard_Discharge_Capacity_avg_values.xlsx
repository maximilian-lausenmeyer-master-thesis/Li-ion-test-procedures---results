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vartagroup-my.sharepoint.com/personal/maximilian_lausenmeyer_varta-ag_com/Documents/Desktop/Cycles Results 03.02/Standard - Z100/2nd round - 23.01.26 - with DCIR - in testing/Final results - Standard/"/>
    </mc:Choice>
  </mc:AlternateContent>
  <xr:revisionPtr revIDLastSave="117" documentId="11_AD4DB114E441178AC67DF427C6D6E330683EDF2F" xr6:coauthVersionLast="47" xr6:coauthVersionMax="47" xr10:uidLastSave="{9AC596AA-BA4E-48E2-AC95-6EE1BBE5978C}"/>
  <bookViews>
    <workbookView xWindow="-110" yWindow="-110" windowWidth="19420" windowHeight="11500" xr2:uid="{00000000-000D-0000-FFFF-FFFF00000000}"/>
  </bookViews>
  <sheets>
    <sheet name="Avg. disch. Cap.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2" i="1" l="1"/>
  <c r="W26" i="1" l="1"/>
  <c r="V26" i="1"/>
  <c r="X25" i="1"/>
  <c r="X24" i="1"/>
  <c r="X23" i="1"/>
  <c r="X22" i="1"/>
  <c r="X21" i="1"/>
  <c r="X20" i="1"/>
  <c r="X19" i="1"/>
  <c r="P117" i="1" l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34" i="1"/>
  <c r="P33" i="1"/>
  <c r="P32" i="1"/>
  <c r="P31" i="1"/>
  <c r="P30" i="1"/>
  <c r="P29" i="1"/>
</calcChain>
</file>

<file path=xl/sharedStrings.xml><?xml version="1.0" encoding="utf-8"?>
<sst xmlns="http://schemas.openxmlformats.org/spreadsheetml/2006/main" count="27" uniqueCount="23">
  <si>
    <t>Avg. Value</t>
  </si>
  <si>
    <t>cell #1</t>
  </si>
  <si>
    <t>cell #2</t>
  </si>
  <si>
    <t>cell #3</t>
  </si>
  <si>
    <t>cell #4</t>
  </si>
  <si>
    <t>cell #5</t>
  </si>
  <si>
    <t>cell #6</t>
  </si>
  <si>
    <t>init first proc.
Kap.test 0.2/0.2</t>
  </si>
  <si>
    <t>100 c</t>
  </si>
  <si>
    <t>delta</t>
  </si>
  <si>
    <t>#1</t>
  </si>
  <si>
    <t>Cell</t>
  </si>
  <si>
    <t>Duration</t>
  </si>
  <si>
    <t>19d 1h</t>
  </si>
  <si>
    <t>#2</t>
  </si>
  <si>
    <t>18d 23h</t>
  </si>
  <si>
    <t>#3</t>
  </si>
  <si>
    <t>#4</t>
  </si>
  <si>
    <t>18d 17h</t>
  </si>
  <si>
    <t>#5</t>
  </si>
  <si>
    <t>#6</t>
  </si>
  <si>
    <t>Avg.</t>
  </si>
  <si>
    <t>Standard deviation after 100 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</si>
</sst>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1"/>
    <xf numFmtId="0" fontId="3" fillId="0" borderId="1" xfId="1" applyFont="1" applyBorder="1" applyAlignment="1">
      <alignment horizontal="center"/>
    </xf>
    <xf numFmtId="0" fontId="3" fillId="0" borderId="1" xfId="1" applyFont="1" applyBorder="1" applyAlignment="1">
      <alignment horizontal="center" wrapText="1"/>
    </xf>
    <xf numFmtId="0" fontId="2" fillId="0" borderId="0" xfId="1" applyAlignment="1">
      <alignment horizontal="right"/>
    </xf>
    <xf numFmtId="0" fontId="0" fillId="0" borderId="0" xfId="0" applyAlignment="1">
      <alignment horizontal="center"/>
    </xf>
    <xf numFmtId="0" fontId="3" fillId="4" borderId="0" xfId="1" applyFont="1" applyFill="1"/>
    <xf numFmtId="0" fontId="3" fillId="2" borderId="2" xfId="1" applyFont="1" applyFill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2" fontId="1" fillId="0" borderId="0" xfId="0" applyNumberFormat="1" applyFont="1" applyAlignment="1">
      <alignment horizontal="center"/>
    </xf>
    <xf numFmtId="2" fontId="3" fillId="0" borderId="0" xfId="1" applyNumberFormat="1" applyFont="1"/>
    <xf numFmtId="0" fontId="3" fillId="0" borderId="0" xfId="1" applyFont="1" applyAlignment="1">
      <alignment horizontal="right"/>
    </xf>
    <xf numFmtId="0" fontId="0" fillId="0" borderId="0" xfId="0" applyAlignment="1">
      <alignment wrapText="1"/>
    </xf>
    <xf numFmtId="0" fontId="1" fillId="0" borderId="0" xfId="0" applyFont="1"/>
  </cellXfs>
  <cellStyles count="2">
    <cellStyle name="Standard" xfId="0" builtinId="0"/>
    <cellStyle name="Standard 3" xfId="1" xr:uid="{239F775C-F54B-4DD0-AD93-CF9B5F9E20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baseline="0"/>
              <a:t>Standard profile - Avg. discharge capacity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scatterChart>
        <c:scatterStyle val="lineMarker"/>
        <c:varyColors val="0"/>
        <c:ser>
          <c:idx val="0"/>
          <c:order val="0"/>
          <c:tx>
            <c:v>Discharge capacity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'Avg. disch. Cap.'!$O$29:$O$129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'Avg. disch. Cap.'!$P$29:$P$129</c:f>
              <c:numCache>
                <c:formatCode>General</c:formatCode>
                <c:ptCount val="101"/>
                <c:pt idx="0">
                  <c:v>5087.9716666666673</c:v>
                </c:pt>
                <c:pt idx="1">
                  <c:v>4782.1519030331538</c:v>
                </c:pt>
                <c:pt idx="2">
                  <c:v>4789.5664036251474</c:v>
                </c:pt>
                <c:pt idx="3">
                  <c:v>4777.5876683790675</c:v>
                </c:pt>
                <c:pt idx="4">
                  <c:v>4768.112440694681</c:v>
                </c:pt>
                <c:pt idx="5">
                  <c:v>4761.280241579987</c:v>
                </c:pt>
                <c:pt idx="6">
                  <c:v>4751.3635343285614</c:v>
                </c:pt>
                <c:pt idx="7">
                  <c:v>4744.152422899554</c:v>
                </c:pt>
                <c:pt idx="8">
                  <c:v>4737.5167059445193</c:v>
                </c:pt>
                <c:pt idx="9">
                  <c:v>4730.8129717934153</c:v>
                </c:pt>
                <c:pt idx="10">
                  <c:v>4725.0119989248042</c:v>
                </c:pt>
                <c:pt idx="11">
                  <c:v>4721.7870309970067</c:v>
                </c:pt>
                <c:pt idx="12">
                  <c:v>4713.8403904543511</c:v>
                </c:pt>
                <c:pt idx="13">
                  <c:v>4706.5023417653547</c:v>
                </c:pt>
                <c:pt idx="14">
                  <c:v>4701.5070723093968</c:v>
                </c:pt>
                <c:pt idx="15">
                  <c:v>4696.3171754066943</c:v>
                </c:pt>
                <c:pt idx="16">
                  <c:v>4690.5928272353767</c:v>
                </c:pt>
                <c:pt idx="17">
                  <c:v>4687.715310768348</c:v>
                </c:pt>
                <c:pt idx="18">
                  <c:v>4686.2384577861994</c:v>
                </c:pt>
                <c:pt idx="19">
                  <c:v>4681.1989953417587</c:v>
                </c:pt>
                <c:pt idx="20">
                  <c:v>4675.8588431330163</c:v>
                </c:pt>
                <c:pt idx="21">
                  <c:v>4671.3008306630045</c:v>
                </c:pt>
                <c:pt idx="22">
                  <c:v>4676.8304186835421</c:v>
                </c:pt>
                <c:pt idx="23">
                  <c:v>4674.2330060414424</c:v>
                </c:pt>
                <c:pt idx="24">
                  <c:v>4670.2237871550124</c:v>
                </c:pt>
                <c:pt idx="25">
                  <c:v>4665.6383272367893</c:v>
                </c:pt>
                <c:pt idx="26">
                  <c:v>4661.5089426345548</c:v>
                </c:pt>
                <c:pt idx="27">
                  <c:v>4656.9534214471205</c:v>
                </c:pt>
                <c:pt idx="28">
                  <c:v>4652.7544900025141</c:v>
                </c:pt>
                <c:pt idx="29">
                  <c:v>4647.9723475086821</c:v>
                </c:pt>
                <c:pt idx="30">
                  <c:v>4643.6923800259401</c:v>
                </c:pt>
                <c:pt idx="31">
                  <c:v>4639.1880638773737</c:v>
                </c:pt>
                <c:pt idx="32">
                  <c:v>4634.9427792683582</c:v>
                </c:pt>
                <c:pt idx="33">
                  <c:v>4630.2255801607289</c:v>
                </c:pt>
                <c:pt idx="34">
                  <c:v>4625.6192480905038</c:v>
                </c:pt>
                <c:pt idx="35">
                  <c:v>4621.7586112453346</c:v>
                </c:pt>
                <c:pt idx="36">
                  <c:v>4617.1198738870089</c:v>
                </c:pt>
                <c:pt idx="37">
                  <c:v>4609.7683277807446</c:v>
                </c:pt>
                <c:pt idx="38">
                  <c:v>4604.8679602926341</c:v>
                </c:pt>
                <c:pt idx="39">
                  <c:v>4596.0771959569238</c:v>
                </c:pt>
                <c:pt idx="40">
                  <c:v>4589.2690952530311</c:v>
                </c:pt>
                <c:pt idx="41">
                  <c:v>4584.2971363195802</c:v>
                </c:pt>
                <c:pt idx="42">
                  <c:v>4579.7506974291364</c:v>
                </c:pt>
                <c:pt idx="43">
                  <c:v>4580.3989792350148</c:v>
                </c:pt>
                <c:pt idx="44">
                  <c:v>4574.5653633272004</c:v>
                </c:pt>
                <c:pt idx="45">
                  <c:v>4571.7967382781035</c:v>
                </c:pt>
                <c:pt idx="46">
                  <c:v>4567.1277490258244</c:v>
                </c:pt>
                <c:pt idx="47">
                  <c:v>4563.4939608535451</c:v>
                </c:pt>
                <c:pt idx="48">
                  <c:v>4559.4640020952893</c:v>
                </c:pt>
                <c:pt idx="49">
                  <c:v>4552.508479212408</c:v>
                </c:pt>
                <c:pt idx="50">
                  <c:v>4549.3701527526991</c:v>
                </c:pt>
                <c:pt idx="51">
                  <c:v>4546.1346098635449</c:v>
                </c:pt>
                <c:pt idx="52">
                  <c:v>4542.2924470667358</c:v>
                </c:pt>
                <c:pt idx="53">
                  <c:v>4538.1724086860568</c:v>
                </c:pt>
                <c:pt idx="54">
                  <c:v>4534.5632236025986</c:v>
                </c:pt>
                <c:pt idx="55">
                  <c:v>4532.0933081418179</c:v>
                </c:pt>
                <c:pt idx="56">
                  <c:v>4529.1229426811797</c:v>
                </c:pt>
                <c:pt idx="57">
                  <c:v>4526.4838192201505</c:v>
                </c:pt>
                <c:pt idx="58">
                  <c:v>4530.6505185948135</c:v>
                </c:pt>
                <c:pt idx="59">
                  <c:v>4538.3443721760214</c:v>
                </c:pt>
                <c:pt idx="60">
                  <c:v>4536.2845870103338</c:v>
                </c:pt>
                <c:pt idx="61">
                  <c:v>4530.6998716052212</c:v>
                </c:pt>
                <c:pt idx="62">
                  <c:v>4524.9178856929711</c:v>
                </c:pt>
                <c:pt idx="63">
                  <c:v>4517.8555368349962</c:v>
                </c:pt>
                <c:pt idx="64">
                  <c:v>4513.3531889942888</c:v>
                </c:pt>
                <c:pt idx="65">
                  <c:v>4509.1592382427834</c:v>
                </c:pt>
                <c:pt idx="66">
                  <c:v>4505.6688842052181</c:v>
                </c:pt>
                <c:pt idx="67">
                  <c:v>4499.8281726402911</c:v>
                </c:pt>
                <c:pt idx="68">
                  <c:v>4494.4876908790611</c:v>
                </c:pt>
                <c:pt idx="69">
                  <c:v>4489.8997599176573</c:v>
                </c:pt>
                <c:pt idx="70">
                  <c:v>4485.6034667296799</c:v>
                </c:pt>
                <c:pt idx="71">
                  <c:v>4479.7097572967796</c:v>
                </c:pt>
                <c:pt idx="72">
                  <c:v>4475.5317107553501</c:v>
                </c:pt>
                <c:pt idx="73">
                  <c:v>4471.2683554023997</c:v>
                </c:pt>
                <c:pt idx="74">
                  <c:v>4465.9955858334106</c:v>
                </c:pt>
                <c:pt idx="75">
                  <c:v>4455.7112650788795</c:v>
                </c:pt>
                <c:pt idx="76">
                  <c:v>4450.5427665171856</c:v>
                </c:pt>
                <c:pt idx="77">
                  <c:v>4446.5382451135811</c:v>
                </c:pt>
                <c:pt idx="78">
                  <c:v>4442.1724659073889</c:v>
                </c:pt>
                <c:pt idx="79">
                  <c:v>4440.05653686608</c:v>
                </c:pt>
                <c:pt idx="80">
                  <c:v>4426.6267136376091</c:v>
                </c:pt>
                <c:pt idx="81">
                  <c:v>4422.2379977549454</c:v>
                </c:pt>
                <c:pt idx="82">
                  <c:v>4419.7055225296635</c:v>
                </c:pt>
                <c:pt idx="83">
                  <c:v>4415.6638600662927</c:v>
                </c:pt>
                <c:pt idx="84">
                  <c:v>4410.9601614842513</c:v>
                </c:pt>
                <c:pt idx="85">
                  <c:v>4406.4369304004931</c:v>
                </c:pt>
                <c:pt idx="86">
                  <c:v>4403.1709027760116</c:v>
                </c:pt>
                <c:pt idx="87">
                  <c:v>4396.9996051374874</c:v>
                </c:pt>
                <c:pt idx="88">
                  <c:v>4388.1155162635741</c:v>
                </c:pt>
                <c:pt idx="89">
                  <c:v>4388.902817938676</c:v>
                </c:pt>
                <c:pt idx="90">
                  <c:v>4383.3057654377508</c:v>
                </c:pt>
                <c:pt idx="91">
                  <c:v>4378.3845803698332</c:v>
                </c:pt>
                <c:pt idx="92">
                  <c:v>4373.1535872830182</c:v>
                </c:pt>
                <c:pt idx="93">
                  <c:v>4368.6630391521076</c:v>
                </c:pt>
                <c:pt idx="94">
                  <c:v>4364.5827166145309</c:v>
                </c:pt>
                <c:pt idx="95">
                  <c:v>4359.358308502101</c:v>
                </c:pt>
                <c:pt idx="96">
                  <c:v>4356.2215836038986</c:v>
                </c:pt>
                <c:pt idx="97">
                  <c:v>4350.4301906106157</c:v>
                </c:pt>
                <c:pt idx="98">
                  <c:v>4346.1246755338543</c:v>
                </c:pt>
                <c:pt idx="99">
                  <c:v>4342.0486263348112</c:v>
                </c:pt>
                <c:pt idx="100">
                  <c:v>4337.1778625854431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4-4179-9749-F0B8204542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935567"/>
        <c:axId val="1202921167"/>
      </c:scatterChart>
      <c:valAx>
        <c:axId val="120293556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Cycle</a:t>
                </a:r>
                <a:r>
                  <a:rPr lang="pt-BR" b="1" baseline="0"/>
                  <a:t> number</a:t>
                </a:r>
                <a:endParaRPr lang="pt-BR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crossBetween val="midCat"/>
        <c:majorUnit val="10"/>
        <c:minorUnit val="1"/>
      </c:valAx>
      <c:valAx>
        <c:axId val="1202921167"/>
        <c:scaling>
          <c:orientation val="minMax"/>
          <c:min val="4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Discharge</a:t>
                </a:r>
                <a:r>
                  <a:rPr lang="pt-BR" b="1" baseline="0"/>
                  <a:t> capacity [mAh]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baseline="0"/>
              <a:t>Standard profile - Discharge capacity cell 1-6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scatterChart>
        <c:scatterStyle val="lineMarker"/>
        <c:varyColors val="0"/>
        <c:ser>
          <c:idx val="0"/>
          <c:order val="0"/>
          <c:tx>
            <c:v>cell #1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'Avg. disch. Cap.'!$C$29:$C$129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'Avg. disch. Cap.'!$D$29:$D$129</c:f>
              <c:numCache>
                <c:formatCode>General</c:formatCode>
                <c:ptCount val="101"/>
                <c:pt idx="0">
                  <c:v>5120.33</c:v>
                </c:pt>
                <c:pt idx="1">
                  <c:v>4788.2364752083276</c:v>
                </c:pt>
                <c:pt idx="2">
                  <c:v>4804.8620789993474</c:v>
                </c:pt>
                <c:pt idx="3">
                  <c:v>4795.835330781686</c:v>
                </c:pt>
                <c:pt idx="4">
                  <c:v>4786.9731456049776</c:v>
                </c:pt>
                <c:pt idx="5">
                  <c:v>4783.9605552164658</c:v>
                </c:pt>
                <c:pt idx="6">
                  <c:v>4772.2664131973588</c:v>
                </c:pt>
                <c:pt idx="7">
                  <c:v>4768.0159039275031</c:v>
                </c:pt>
                <c:pt idx="8">
                  <c:v>4762.9334515907531</c:v>
                </c:pt>
                <c:pt idx="9">
                  <c:v>4754.7251540737352</c:v>
                </c:pt>
                <c:pt idx="10">
                  <c:v>4749.0860494392309</c:v>
                </c:pt>
                <c:pt idx="11">
                  <c:v>4740.2934812186868</c:v>
                </c:pt>
                <c:pt idx="12">
                  <c:v>4736.2931391622797</c:v>
                </c:pt>
                <c:pt idx="13">
                  <c:v>4731.4598102794944</c:v>
                </c:pt>
                <c:pt idx="14">
                  <c:v>4727.7377923586209</c:v>
                </c:pt>
                <c:pt idx="15">
                  <c:v>4720.1962770105883</c:v>
                </c:pt>
                <c:pt idx="16">
                  <c:v>4719.0854399260788</c:v>
                </c:pt>
                <c:pt idx="17">
                  <c:v>4713.2376815187818</c:v>
                </c:pt>
                <c:pt idx="18">
                  <c:v>4708.987998143486</c:v>
                </c:pt>
                <c:pt idx="19">
                  <c:v>4705.4324987496066</c:v>
                </c:pt>
                <c:pt idx="20">
                  <c:v>4699.766195332435</c:v>
                </c:pt>
                <c:pt idx="21">
                  <c:v>4693.9613287641041</c:v>
                </c:pt>
                <c:pt idx="22">
                  <c:v>4697.8081021167654</c:v>
                </c:pt>
                <c:pt idx="23">
                  <c:v>4689.0171250731164</c:v>
                </c:pt>
                <c:pt idx="24">
                  <c:v>4686.6007801174947</c:v>
                </c:pt>
                <c:pt idx="25">
                  <c:v>4682.1147677661638</c:v>
                </c:pt>
                <c:pt idx="26">
                  <c:v>4676.1290321965362</c:v>
                </c:pt>
                <c:pt idx="27">
                  <c:v>4671.2262196620977</c:v>
                </c:pt>
                <c:pt idx="28">
                  <c:v>4666.9346085213156</c:v>
                </c:pt>
                <c:pt idx="29">
                  <c:v>4663.0461568457904</c:v>
                </c:pt>
                <c:pt idx="30">
                  <c:v>4658.8102953892321</c:v>
                </c:pt>
                <c:pt idx="31">
                  <c:v>4654.1716046556967</c:v>
                </c:pt>
                <c:pt idx="32">
                  <c:v>4649.129934598137</c:v>
                </c:pt>
                <c:pt idx="33">
                  <c:v>4645.6855484346788</c:v>
                </c:pt>
                <c:pt idx="34">
                  <c:v>4640.9912595474852</c:v>
                </c:pt>
                <c:pt idx="35">
                  <c:v>4637.1306068428239</c:v>
                </c:pt>
                <c:pt idx="36">
                  <c:v>4632.4365106007817</c:v>
                </c:pt>
                <c:pt idx="37">
                  <c:v>4625.4372618956804</c:v>
                </c:pt>
                <c:pt idx="38">
                  <c:v>4620.0200999465933</c:v>
                </c:pt>
                <c:pt idx="39">
                  <c:v>4633.6449821130354</c:v>
                </c:pt>
                <c:pt idx="40">
                  <c:v>4628.0755016403446</c:v>
                </c:pt>
                <c:pt idx="41">
                  <c:v>4622.5206882666598</c:v>
                </c:pt>
                <c:pt idx="42">
                  <c:v>4619.1734516331389</c:v>
                </c:pt>
                <c:pt idx="43">
                  <c:v>4618.4368852945418</c:v>
                </c:pt>
                <c:pt idx="44">
                  <c:v>4615.1442219170422</c:v>
                </c:pt>
                <c:pt idx="45">
                  <c:v>4610.7546489153383</c:v>
                </c:pt>
                <c:pt idx="46">
                  <c:v>4606.4629907259059</c:v>
                </c:pt>
                <c:pt idx="47">
                  <c:v>4603.2693514067969</c:v>
                </c:pt>
                <c:pt idx="48">
                  <c:v>4593.894898188415</c:v>
                </c:pt>
                <c:pt idx="49">
                  <c:v>4586.5475880148861</c:v>
                </c:pt>
                <c:pt idx="50">
                  <c:v>4582.38120258047</c:v>
                </c:pt>
                <c:pt idx="51">
                  <c:v>4580.5205755194429</c:v>
                </c:pt>
                <c:pt idx="52">
                  <c:v>4577.021108949416</c:v>
                </c:pt>
                <c:pt idx="53">
                  <c:v>4569.9660389274604</c:v>
                </c:pt>
                <c:pt idx="54">
                  <c:v>4563.5771672049714</c:v>
                </c:pt>
                <c:pt idx="55">
                  <c:v>4561.9666039351323</c:v>
                </c:pt>
                <c:pt idx="56">
                  <c:v>4557.590576706255</c:v>
                </c:pt>
                <c:pt idx="57">
                  <c:v>4552.9100321711048</c:v>
                </c:pt>
                <c:pt idx="58">
                  <c:v>4559.2290917491082</c:v>
                </c:pt>
                <c:pt idx="59">
                  <c:v>4550.2985559031222</c:v>
                </c:pt>
                <c:pt idx="60">
                  <c:v>4550.5497149529938</c:v>
                </c:pt>
                <c:pt idx="61">
                  <c:v>4548.341909539432</c:v>
                </c:pt>
                <c:pt idx="62">
                  <c:v>4542.9531781151718</c:v>
                </c:pt>
                <c:pt idx="63">
                  <c:v>4538.6476689724741</c:v>
                </c:pt>
                <c:pt idx="64">
                  <c:v>4535.0371129082851</c:v>
                </c:pt>
                <c:pt idx="65">
                  <c:v>4530.6076716851894</c:v>
                </c:pt>
                <c:pt idx="66">
                  <c:v>4525.371738172139</c:v>
                </c:pt>
                <c:pt idx="67">
                  <c:v>4521.620612607343</c:v>
                </c:pt>
                <c:pt idx="68">
                  <c:v>4519.0376654120364</c:v>
                </c:pt>
                <c:pt idx="69">
                  <c:v>4512.8152301992995</c:v>
                </c:pt>
                <c:pt idx="70">
                  <c:v>4507.9262531471732</c:v>
                </c:pt>
                <c:pt idx="71">
                  <c:v>4503.0929111246751</c:v>
                </c:pt>
                <c:pt idx="72">
                  <c:v>4500.2741459186354</c:v>
                </c:pt>
                <c:pt idx="73">
                  <c:v>4496.3301677220816</c:v>
                </c:pt>
                <c:pt idx="74">
                  <c:v>4483.1501430533299</c:v>
                </c:pt>
                <c:pt idx="75">
                  <c:v>4468.0951527173765</c:v>
                </c:pt>
                <c:pt idx="76">
                  <c:v>4464.0534729109977</c:v>
                </c:pt>
                <c:pt idx="77">
                  <c:v>4459.4002468994513</c:v>
                </c:pt>
                <c:pt idx="78">
                  <c:v>4456.0945881335674</c:v>
                </c:pt>
                <c:pt idx="79">
                  <c:v>4465.9967428346172</c:v>
                </c:pt>
                <c:pt idx="80">
                  <c:v>4445.3729035799361</c:v>
                </c:pt>
                <c:pt idx="81">
                  <c:v>4446.8718640590696</c:v>
                </c:pt>
                <c:pt idx="82">
                  <c:v>4442.0801361443846</c:v>
                </c:pt>
                <c:pt idx="83">
                  <c:v>4437.3166711172144</c:v>
                </c:pt>
                <c:pt idx="84">
                  <c:v>4432.9837902562667</c:v>
                </c:pt>
                <c:pt idx="85">
                  <c:v>4431.6642012749762</c:v>
                </c:pt>
                <c:pt idx="86">
                  <c:v>4418.8875691954254</c:v>
                </c:pt>
                <c:pt idx="87">
                  <c:v>4415.0125867856868</c:v>
                </c:pt>
                <c:pt idx="88">
                  <c:v>4408.7214043810354</c:v>
                </c:pt>
                <c:pt idx="89">
                  <c:v>4405.2354210642316</c:v>
                </c:pt>
                <c:pt idx="90">
                  <c:v>4397.6937584242514</c:v>
                </c:pt>
                <c:pt idx="91">
                  <c:v>4400.2214715631171</c:v>
                </c:pt>
                <c:pt idx="92">
                  <c:v>4393.1244169782049</c:v>
                </c:pt>
                <c:pt idx="93">
                  <c:v>4386.3885387791088</c:v>
                </c:pt>
                <c:pt idx="94">
                  <c:v>4381.5283631308121</c:v>
                </c:pt>
                <c:pt idx="95">
                  <c:v>4384.0563225333372</c:v>
                </c:pt>
                <c:pt idx="96">
                  <c:v>4382.3476927087304</c:v>
                </c:pt>
                <c:pt idx="97">
                  <c:v>4377.7090371557188</c:v>
                </c:pt>
                <c:pt idx="98">
                  <c:v>4374.5010304078396</c:v>
                </c:pt>
                <c:pt idx="99">
                  <c:v>4368.8072730432423</c:v>
                </c:pt>
                <c:pt idx="100">
                  <c:v>4359.7115671863212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917-429D-982D-91D8BF69C383}"/>
            </c:ext>
          </c:extLst>
        </c:ser>
        <c:ser>
          <c:idx val="1"/>
          <c:order val="1"/>
          <c:tx>
            <c:v>cell #2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'Avg. disch. Cap.'!$E$29:$E$129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'Avg. disch. Cap.'!$F$29:$F$129</c:f>
              <c:numCache>
                <c:formatCode>General</c:formatCode>
                <c:ptCount val="101"/>
                <c:pt idx="0">
                  <c:v>5093.96</c:v>
                </c:pt>
                <c:pt idx="1">
                  <c:v>4777.2348969592158</c:v>
                </c:pt>
                <c:pt idx="2">
                  <c:v>4787.3043636564007</c:v>
                </c:pt>
                <c:pt idx="3">
                  <c:v>4775.5407833388444</c:v>
                </c:pt>
                <c:pt idx="4">
                  <c:v>4767.4432180005597</c:v>
                </c:pt>
                <c:pt idx="5">
                  <c:v>4760.8610223120813</c:v>
                </c:pt>
                <c:pt idx="6">
                  <c:v>4753.652923586209</c:v>
                </c:pt>
                <c:pt idx="7">
                  <c:v>4745.2080012376764</c:v>
                </c:pt>
                <c:pt idx="8">
                  <c:v>4739.9729137526174</c:v>
                </c:pt>
                <c:pt idx="9">
                  <c:v>4733.3619005535638</c:v>
                </c:pt>
                <c:pt idx="10">
                  <c:v>4726.6954591694002</c:v>
                </c:pt>
                <c:pt idx="11">
                  <c:v>4722.3619548078632</c:v>
                </c:pt>
                <c:pt idx="12">
                  <c:v>4712.9040283817803</c:v>
                </c:pt>
                <c:pt idx="13">
                  <c:v>4707.3618799962696</c:v>
                </c:pt>
                <c:pt idx="14">
                  <c:v>4702.7506330374781</c:v>
                </c:pt>
                <c:pt idx="15">
                  <c:v>4698.7783025185863</c:v>
                </c:pt>
                <c:pt idx="16">
                  <c:v>4693.5145441791074</c:v>
                </c:pt>
                <c:pt idx="17">
                  <c:v>4687.6674722158641</c:v>
                </c:pt>
                <c:pt idx="18">
                  <c:v>4687.6248139247054</c:v>
                </c:pt>
                <c:pt idx="19">
                  <c:v>4680.5824180039508</c:v>
                </c:pt>
                <c:pt idx="20">
                  <c:v>4678.1515360748708</c:v>
                </c:pt>
                <c:pt idx="21">
                  <c:v>4672.221159600892</c:v>
                </c:pt>
                <c:pt idx="22">
                  <c:v>4676.7905101599654</c:v>
                </c:pt>
                <c:pt idx="23">
                  <c:v>4671.8464391376956</c:v>
                </c:pt>
                <c:pt idx="24">
                  <c:v>4664.3192070818814</c:v>
                </c:pt>
                <c:pt idx="25">
                  <c:v>4660.5136716597581</c:v>
                </c:pt>
                <c:pt idx="26">
                  <c:v>4657.0281916787471</c:v>
                </c:pt>
                <c:pt idx="27">
                  <c:v>4650.9172259522056</c:v>
                </c:pt>
                <c:pt idx="28">
                  <c:v>4647.5702101506404</c:v>
                </c:pt>
                <c:pt idx="29">
                  <c:v>4640.9730273475579</c:v>
                </c:pt>
                <c:pt idx="30">
                  <c:v>4637.5842342514179</c:v>
                </c:pt>
                <c:pt idx="31">
                  <c:v>4632.6120626806714</c:v>
                </c:pt>
                <c:pt idx="32">
                  <c:v>4627.1398535981634</c:v>
                </c:pt>
                <c:pt idx="33">
                  <c:v>4620.9179278672127</c:v>
                </c:pt>
                <c:pt idx="34">
                  <c:v>4617.8762109729323</c:v>
                </c:pt>
                <c:pt idx="35">
                  <c:v>4614.737238583285</c:v>
                </c:pt>
                <c:pt idx="36">
                  <c:v>4610.0007260751254</c:v>
                </c:pt>
                <c:pt idx="37">
                  <c:v>4604.8751629748313</c:v>
                </c:pt>
                <c:pt idx="38">
                  <c:v>4594.9863792036494</c:v>
                </c:pt>
                <c:pt idx="39">
                  <c:v>4592.4820666225851</c:v>
                </c:pt>
                <c:pt idx="40">
                  <c:v>4590.4136082924306</c:v>
                </c:pt>
                <c:pt idx="41">
                  <c:v>4584.3032130837637</c:v>
                </c:pt>
                <c:pt idx="42">
                  <c:v>4581.6238081008451</c:v>
                </c:pt>
                <c:pt idx="43">
                  <c:v>4581.4575782236807</c:v>
                </c:pt>
                <c:pt idx="44">
                  <c:v>4575.6247961225126</c:v>
                </c:pt>
                <c:pt idx="45">
                  <c:v>4573.0411696888004</c:v>
                </c:pt>
                <c:pt idx="46">
                  <c:v>4569.1804387816519</c:v>
                </c:pt>
                <c:pt idx="47">
                  <c:v>4564.9304695116261</c:v>
                </c:pt>
                <c:pt idx="48">
                  <c:v>4563.0691759280453</c:v>
                </c:pt>
                <c:pt idx="49">
                  <c:v>4552.1106223985489</c:v>
                </c:pt>
                <c:pt idx="50">
                  <c:v>4544.7082341496907</c:v>
                </c:pt>
                <c:pt idx="51">
                  <c:v>4541.4033660978439</c:v>
                </c:pt>
                <c:pt idx="52">
                  <c:v>4537.6249126844859</c:v>
                </c:pt>
                <c:pt idx="53">
                  <c:v>4536.7077935454336</c:v>
                </c:pt>
                <c:pt idx="54">
                  <c:v>4529.5412642099654</c:v>
                </c:pt>
                <c:pt idx="55">
                  <c:v>4523.9169307325183</c:v>
                </c:pt>
                <c:pt idx="56">
                  <c:v>4519.764965073794</c:v>
                </c:pt>
                <c:pt idx="57">
                  <c:v>4515.5846280189553</c:v>
                </c:pt>
                <c:pt idx="58">
                  <c:v>4510.5013665301831</c:v>
                </c:pt>
                <c:pt idx="59">
                  <c:v>4519.8625092189923</c:v>
                </c:pt>
                <c:pt idx="60">
                  <c:v>4515.4177640446578</c:v>
                </c:pt>
                <c:pt idx="61">
                  <c:v>4513.0009541127301</c:v>
                </c:pt>
                <c:pt idx="62">
                  <c:v>4509.6955678899312</c:v>
                </c:pt>
                <c:pt idx="63">
                  <c:v>4503.7510388850742</c:v>
                </c:pt>
                <c:pt idx="64">
                  <c:v>4499.6677405203327</c:v>
                </c:pt>
                <c:pt idx="65">
                  <c:v>4494.7372739757384</c:v>
                </c:pt>
                <c:pt idx="66">
                  <c:v>4491.6256563498728</c:v>
                </c:pt>
                <c:pt idx="67">
                  <c:v>4489.098190746251</c:v>
                </c:pt>
                <c:pt idx="68">
                  <c:v>4482.4736184227258</c:v>
                </c:pt>
                <c:pt idx="69">
                  <c:v>4478.7377982926846</c:v>
                </c:pt>
                <c:pt idx="70">
                  <c:v>4476.0012690419881</c:v>
                </c:pt>
                <c:pt idx="71">
                  <c:v>4472.0983925044293</c:v>
                </c:pt>
                <c:pt idx="72">
                  <c:v>4466.515117240152</c:v>
                </c:pt>
                <c:pt idx="73">
                  <c:v>4462.9461661707483</c:v>
                </c:pt>
                <c:pt idx="74">
                  <c:v>4458.1682572077689</c:v>
                </c:pt>
                <c:pt idx="75">
                  <c:v>4438.6271847952321</c:v>
                </c:pt>
                <c:pt idx="76">
                  <c:v>4435.350600612056</c:v>
                </c:pt>
                <c:pt idx="77">
                  <c:v>4432.7540966235174</c:v>
                </c:pt>
                <c:pt idx="78">
                  <c:v>4428.7821581767166</c:v>
                </c:pt>
                <c:pt idx="79">
                  <c:v>4422.9077407746499</c:v>
                </c:pt>
                <c:pt idx="80">
                  <c:v>4413.6734289565366</c:v>
                </c:pt>
                <c:pt idx="81">
                  <c:v>4405.508132634809</c:v>
                </c:pt>
                <c:pt idx="82">
                  <c:v>4403.757969236116</c:v>
                </c:pt>
                <c:pt idx="83">
                  <c:v>4397.6199486279593</c:v>
                </c:pt>
                <c:pt idx="84">
                  <c:v>4392.5085666692103</c:v>
                </c:pt>
                <c:pt idx="85">
                  <c:v>4388.605509142697</c:v>
                </c:pt>
                <c:pt idx="86">
                  <c:v>4381.4244900943513</c:v>
                </c:pt>
                <c:pt idx="87">
                  <c:v>4376.049765604469</c:v>
                </c:pt>
                <c:pt idx="88">
                  <c:v>4369.5636775938219</c:v>
                </c:pt>
                <c:pt idx="89">
                  <c:v>4368.0777580682079</c:v>
                </c:pt>
                <c:pt idx="90">
                  <c:v>4366.5081659079542</c:v>
                </c:pt>
                <c:pt idx="91">
                  <c:v>4355.9812375490619</c:v>
                </c:pt>
                <c:pt idx="92">
                  <c:v>4353.2460294753437</c:v>
                </c:pt>
                <c:pt idx="93">
                  <c:v>4347.6070736163038</c:v>
                </c:pt>
                <c:pt idx="94">
                  <c:v>4344.7179715249686</c:v>
                </c:pt>
                <c:pt idx="95">
                  <c:v>4335.8564552020553</c:v>
                </c:pt>
                <c:pt idx="96">
                  <c:v>4334.050137755059</c:v>
                </c:pt>
                <c:pt idx="97">
                  <c:v>4331.6886778057524</c:v>
                </c:pt>
                <c:pt idx="98">
                  <c:v>4325.7026001797176</c:v>
                </c:pt>
                <c:pt idx="99">
                  <c:v>4321.9949670659444</c:v>
                </c:pt>
                <c:pt idx="100">
                  <c:v>4320.7955089731522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917-429D-982D-91D8BF69C383}"/>
            </c:ext>
          </c:extLst>
        </c:ser>
        <c:ser>
          <c:idx val="2"/>
          <c:order val="2"/>
          <c:tx>
            <c:v>cell #3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'Avg. disch. Cap.'!$G$29:$G$129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'Avg. disch. Cap.'!$H$29:$H$129</c:f>
              <c:numCache>
                <c:formatCode>General</c:formatCode>
                <c:ptCount val="101"/>
                <c:pt idx="0">
                  <c:v>5095.83</c:v>
                </c:pt>
                <c:pt idx="1">
                  <c:v>4791.2179766113104</c:v>
                </c:pt>
                <c:pt idx="2">
                  <c:v>4790.6208455193573</c:v>
                </c:pt>
                <c:pt idx="3">
                  <c:v>4769.1356185837931</c:v>
                </c:pt>
                <c:pt idx="4">
                  <c:v>4754.5935227571354</c:v>
                </c:pt>
                <c:pt idx="5">
                  <c:v>4743.5391277349681</c:v>
                </c:pt>
                <c:pt idx="6">
                  <c:v>4734.6218002678806</c:v>
                </c:pt>
                <c:pt idx="7">
                  <c:v>4733.8997191916114</c:v>
                </c:pt>
                <c:pt idx="8">
                  <c:v>4727.6639300034758</c:v>
                </c:pt>
                <c:pt idx="9">
                  <c:v>4722.0253939794684</c:v>
                </c:pt>
                <c:pt idx="10">
                  <c:v>4717.6082727211078</c:v>
                </c:pt>
                <c:pt idx="11">
                  <c:v>4710.3442130159456</c:v>
                </c:pt>
                <c:pt idx="12">
                  <c:v>4698.6777279740254</c:v>
                </c:pt>
                <c:pt idx="13">
                  <c:v>4690.6219846477288</c:v>
                </c:pt>
                <c:pt idx="14">
                  <c:v>4682.0393169892259</c:v>
                </c:pt>
                <c:pt idx="15">
                  <c:v>4676.6920010935628</c:v>
                </c:pt>
                <c:pt idx="16">
                  <c:v>4668.3589922263764</c:v>
                </c:pt>
                <c:pt idx="17">
                  <c:v>4669.2480894433002</c:v>
                </c:pt>
                <c:pt idx="18">
                  <c:v>4660.1517513966246</c:v>
                </c:pt>
                <c:pt idx="19">
                  <c:v>4653.4295887269736</c:v>
                </c:pt>
                <c:pt idx="20">
                  <c:v>4646.9158835821399</c:v>
                </c:pt>
                <c:pt idx="21">
                  <c:v>4641.041418071768</c:v>
                </c:pt>
                <c:pt idx="22">
                  <c:v>4654.402153853327</c:v>
                </c:pt>
                <c:pt idx="23">
                  <c:v>4643.7913222790194</c:v>
                </c:pt>
                <c:pt idx="24">
                  <c:v>4638.1524408077112</c:v>
                </c:pt>
                <c:pt idx="25">
                  <c:v>4632.9442318777919</c:v>
                </c:pt>
                <c:pt idx="26">
                  <c:v>4627.5967002365151</c:v>
                </c:pt>
                <c:pt idx="27">
                  <c:v>4621.6798193077493</c:v>
                </c:pt>
                <c:pt idx="28">
                  <c:v>4616.8047273297561</c:v>
                </c:pt>
                <c:pt idx="29">
                  <c:v>4611.7074709866656</c:v>
                </c:pt>
                <c:pt idx="30">
                  <c:v>4605.5550108932466</c:v>
                </c:pt>
                <c:pt idx="31">
                  <c:v>4601.0134766833671</c:v>
                </c:pt>
                <c:pt idx="32">
                  <c:v>4596.9439256377</c:v>
                </c:pt>
                <c:pt idx="33">
                  <c:v>4590.9585353034427</c:v>
                </c:pt>
                <c:pt idx="34">
                  <c:v>4584.6667323652327</c:v>
                </c:pt>
                <c:pt idx="35">
                  <c:v>4581.1258500546783</c:v>
                </c:pt>
                <c:pt idx="36">
                  <c:v>4575.1120692505274</c:v>
                </c:pt>
                <c:pt idx="37">
                  <c:v>4561.9460195145939</c:v>
                </c:pt>
                <c:pt idx="38">
                  <c:v>4560.1262826055627</c:v>
                </c:pt>
                <c:pt idx="39">
                  <c:v>4548.681492925748</c:v>
                </c:pt>
                <c:pt idx="40">
                  <c:v>4543.4599064961048</c:v>
                </c:pt>
                <c:pt idx="41">
                  <c:v>4538.5708179683461</c:v>
                </c:pt>
                <c:pt idx="42">
                  <c:v>4532.6400150894769</c:v>
                </c:pt>
                <c:pt idx="43">
                  <c:v>4532.9015572679573</c:v>
                </c:pt>
                <c:pt idx="44">
                  <c:v>4529.8574788281076</c:v>
                </c:pt>
                <c:pt idx="45">
                  <c:v>4526.2748499529516</c:v>
                </c:pt>
                <c:pt idx="46">
                  <c:v>4517.9561932555134</c:v>
                </c:pt>
                <c:pt idx="47">
                  <c:v>4516.401992997804</c:v>
                </c:pt>
                <c:pt idx="48">
                  <c:v>4518.8457442164072</c:v>
                </c:pt>
                <c:pt idx="49">
                  <c:v>4512.4578643303412</c:v>
                </c:pt>
                <c:pt idx="50">
                  <c:v>4514.5139357256076</c:v>
                </c:pt>
                <c:pt idx="51">
                  <c:v>4513.2789147868398</c:v>
                </c:pt>
                <c:pt idx="52">
                  <c:v>4513.8630649017068</c:v>
                </c:pt>
                <c:pt idx="53">
                  <c:v>4512.4186189737457</c:v>
                </c:pt>
                <c:pt idx="54">
                  <c:v>4515.7911342963471</c:v>
                </c:pt>
                <c:pt idx="55">
                  <c:v>4511.6803139543754</c:v>
                </c:pt>
                <c:pt idx="56">
                  <c:v>4509.9693664538881</c:v>
                </c:pt>
                <c:pt idx="57">
                  <c:v>4506.8727164449874</c:v>
                </c:pt>
                <c:pt idx="58">
                  <c:v>4534.9833577053823</c:v>
                </c:pt>
                <c:pt idx="59">
                  <c:v>4528.1078732314372</c:v>
                </c:pt>
                <c:pt idx="60">
                  <c:v>4524.9977759975582</c:v>
                </c:pt>
                <c:pt idx="61">
                  <c:v>4504.7068936870037</c:v>
                </c:pt>
                <c:pt idx="62">
                  <c:v>4487.7221012097016</c:v>
                </c:pt>
                <c:pt idx="63">
                  <c:v>4471.5976509583516</c:v>
                </c:pt>
                <c:pt idx="64">
                  <c:v>4463.0695251901016</c:v>
                </c:pt>
                <c:pt idx="65">
                  <c:v>4460.123773344184</c:v>
                </c:pt>
                <c:pt idx="66">
                  <c:v>4467.8309652179078</c:v>
                </c:pt>
                <c:pt idx="67">
                  <c:v>4467.2325282079973</c:v>
                </c:pt>
                <c:pt idx="68">
                  <c:v>4467.3854316607749</c:v>
                </c:pt>
                <c:pt idx="69">
                  <c:v>4461.3441201902288</c:v>
                </c:pt>
                <c:pt idx="70">
                  <c:v>4451.9559645821146</c:v>
                </c:pt>
                <c:pt idx="71">
                  <c:v>4439.6641584649424</c:v>
                </c:pt>
                <c:pt idx="72">
                  <c:v>4433.2902070988357</c:v>
                </c:pt>
                <c:pt idx="73">
                  <c:v>4424.2626738892704</c:v>
                </c:pt>
                <c:pt idx="74">
                  <c:v>4418.6516210591453</c:v>
                </c:pt>
                <c:pt idx="75">
                  <c:v>4413.3459351661113</c:v>
                </c:pt>
                <c:pt idx="76">
                  <c:v>4407.7633745326921</c:v>
                </c:pt>
                <c:pt idx="77">
                  <c:v>4400.8472086586471</c:v>
                </c:pt>
                <c:pt idx="78">
                  <c:v>4394.4447407237867</c:v>
                </c:pt>
                <c:pt idx="79">
                  <c:v>4385.8337540160901</c:v>
                </c:pt>
                <c:pt idx="80">
                  <c:v>4352.6823277214044</c:v>
                </c:pt>
                <c:pt idx="81">
                  <c:v>4356.3907873655298</c:v>
                </c:pt>
                <c:pt idx="82">
                  <c:v>4351.2939849783406</c:v>
                </c:pt>
                <c:pt idx="83">
                  <c:v>4347.6833570695899</c:v>
                </c:pt>
                <c:pt idx="84">
                  <c:v>4337.2950092401852</c:v>
                </c:pt>
                <c:pt idx="85">
                  <c:v>4329.2123638344228</c:v>
                </c:pt>
                <c:pt idx="86">
                  <c:v>4327.2962187296016</c:v>
                </c:pt>
                <c:pt idx="87">
                  <c:v>4320.366410018396</c:v>
                </c:pt>
                <c:pt idx="88">
                  <c:v>4315.6310722429916</c:v>
                </c:pt>
                <c:pt idx="89">
                  <c:v>4308.6594434271756</c:v>
                </c:pt>
                <c:pt idx="90">
                  <c:v>4301.0624183006539</c:v>
                </c:pt>
                <c:pt idx="91">
                  <c:v>4295.1033531700614</c:v>
                </c:pt>
                <c:pt idx="92">
                  <c:v>4288.0626878767071</c:v>
                </c:pt>
                <c:pt idx="93">
                  <c:v>4280.3691127726488</c:v>
                </c:pt>
                <c:pt idx="94">
                  <c:v>4277.4115069979571</c:v>
                </c:pt>
                <c:pt idx="95">
                  <c:v>4267.6336355467392</c:v>
                </c:pt>
                <c:pt idx="96">
                  <c:v>4262.9112403889358</c:v>
                </c:pt>
                <c:pt idx="97">
                  <c:v>4257.3428024041441</c:v>
                </c:pt>
                <c:pt idx="98">
                  <c:v>4252.8013243559417</c:v>
                </c:pt>
                <c:pt idx="99">
                  <c:v>4247.2603966921833</c:v>
                </c:pt>
                <c:pt idx="100">
                  <c:v>4239.7182972627006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917-429D-982D-91D8BF69C383}"/>
            </c:ext>
          </c:extLst>
        </c:ser>
        <c:ser>
          <c:idx val="3"/>
          <c:order val="3"/>
          <c:tx>
            <c:v>cell #4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'Avg. disch. Cap.'!$I$29:$I$129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'Avg. disch. Cap.'!$J$29:$J$129</c:f>
              <c:numCache>
                <c:formatCode>General</c:formatCode>
                <c:ptCount val="101"/>
                <c:pt idx="0">
                  <c:v>5062.82</c:v>
                </c:pt>
                <c:pt idx="1">
                  <c:v>4774.6670229224419</c:v>
                </c:pt>
                <c:pt idx="2">
                  <c:v>4781.1251850156405</c:v>
                </c:pt>
                <c:pt idx="3">
                  <c:v>4769.6254482337681</c:v>
                </c:pt>
                <c:pt idx="4">
                  <c:v>4760.3331275484688</c:v>
                </c:pt>
                <c:pt idx="5">
                  <c:v>4752.4589059705158</c:v>
                </c:pt>
                <c:pt idx="6">
                  <c:v>4739.8478891686373</c:v>
                </c:pt>
                <c:pt idx="7">
                  <c:v>4724.1388259454234</c:v>
                </c:pt>
                <c:pt idx="8">
                  <c:v>4708.9870684028047</c:v>
                </c:pt>
                <c:pt idx="9">
                  <c:v>4702.3891323974467</c:v>
                </c:pt>
                <c:pt idx="10">
                  <c:v>4696.9447928587779</c:v>
                </c:pt>
                <c:pt idx="11">
                  <c:v>4693.8196211947816</c:v>
                </c:pt>
                <c:pt idx="12">
                  <c:v>4686.3888229783925</c:v>
                </c:pt>
                <c:pt idx="13">
                  <c:v>4678.1249605808598</c:v>
                </c:pt>
                <c:pt idx="14">
                  <c:v>4673.33299233658</c:v>
                </c:pt>
                <c:pt idx="15">
                  <c:v>4667.8191257004319</c:v>
                </c:pt>
                <c:pt idx="16">
                  <c:v>4661.4298474945545</c:v>
                </c:pt>
                <c:pt idx="17">
                  <c:v>4656.9572916931584</c:v>
                </c:pt>
                <c:pt idx="18">
                  <c:v>4659.2765309885299</c:v>
                </c:pt>
                <c:pt idx="19">
                  <c:v>4655.2488559972198</c:v>
                </c:pt>
                <c:pt idx="20">
                  <c:v>4649.248833108687</c:v>
                </c:pt>
                <c:pt idx="21">
                  <c:v>4646.6927339504764</c:v>
                </c:pt>
                <c:pt idx="22">
                  <c:v>4643.8036801793787</c:v>
                </c:pt>
                <c:pt idx="23">
                  <c:v>4654.0805848020154</c:v>
                </c:pt>
                <c:pt idx="24">
                  <c:v>4652.927795156108</c:v>
                </c:pt>
                <c:pt idx="25">
                  <c:v>4649.3305093546278</c:v>
                </c:pt>
                <c:pt idx="26">
                  <c:v>4645.941866941329</c:v>
                </c:pt>
                <c:pt idx="27">
                  <c:v>4642.539069453981</c:v>
                </c:pt>
                <c:pt idx="28">
                  <c:v>4640.5946245856749</c:v>
                </c:pt>
                <c:pt idx="29">
                  <c:v>4636.2064195976709</c:v>
                </c:pt>
                <c:pt idx="30">
                  <c:v>4632.6648974678501</c:v>
                </c:pt>
                <c:pt idx="31">
                  <c:v>4625.7766515771891</c:v>
                </c:pt>
                <c:pt idx="32">
                  <c:v>4623.6658702304958</c:v>
                </c:pt>
                <c:pt idx="33">
                  <c:v>4618.1243239405576</c:v>
                </c:pt>
                <c:pt idx="34">
                  <c:v>4613.1524541593553</c:v>
                </c:pt>
                <c:pt idx="35">
                  <c:v>4608.8334857116224</c:v>
                </c:pt>
                <c:pt idx="36">
                  <c:v>4604.1116848079482</c:v>
                </c:pt>
                <c:pt idx="37">
                  <c:v>4599.6119308596762</c:v>
                </c:pt>
                <c:pt idx="38">
                  <c:v>4593.4876571467321</c:v>
                </c:pt>
                <c:pt idx="39">
                  <c:v>4577.6269779507138</c:v>
                </c:pt>
                <c:pt idx="40">
                  <c:v>4571.347022795283</c:v>
                </c:pt>
                <c:pt idx="41">
                  <c:v>4566.5132111339999</c:v>
                </c:pt>
                <c:pt idx="42">
                  <c:v>4560.6780763883589</c:v>
                </c:pt>
                <c:pt idx="43">
                  <c:v>4563.9430704966808</c:v>
                </c:pt>
                <c:pt idx="44">
                  <c:v>4553.472026398108</c:v>
                </c:pt>
                <c:pt idx="45">
                  <c:v>4549.9868583793223</c:v>
                </c:pt>
                <c:pt idx="46">
                  <c:v>4545.7782224087214</c:v>
                </c:pt>
                <c:pt idx="47">
                  <c:v>4540.5285146613769</c:v>
                </c:pt>
                <c:pt idx="48">
                  <c:v>4535.3065637106547</c:v>
                </c:pt>
                <c:pt idx="49">
                  <c:v>4527.752024999364</c:v>
                </c:pt>
                <c:pt idx="50">
                  <c:v>4523.0726496867665</c:v>
                </c:pt>
                <c:pt idx="51">
                  <c:v>4518.3093842984663</c:v>
                </c:pt>
                <c:pt idx="52">
                  <c:v>4511.3374466993891</c:v>
                </c:pt>
                <c:pt idx="53">
                  <c:v>4503.8657691394756</c:v>
                </c:pt>
                <c:pt idx="54">
                  <c:v>4497.3936418622789</c:v>
                </c:pt>
                <c:pt idx="55">
                  <c:v>4493.4895547756496</c:v>
                </c:pt>
                <c:pt idx="56">
                  <c:v>4492.8373318328631</c:v>
                </c:pt>
                <c:pt idx="57">
                  <c:v>4494.0167876791866</c:v>
                </c:pt>
                <c:pt idx="58">
                  <c:v>4495.7957338317947</c:v>
                </c:pt>
                <c:pt idx="59">
                  <c:v>4524.1424539898107</c:v>
                </c:pt>
                <c:pt idx="60">
                  <c:v>4529.4612073277212</c:v>
                </c:pt>
                <c:pt idx="61">
                  <c:v>4526.5043282639472</c:v>
                </c:pt>
                <c:pt idx="62">
                  <c:v>4522.1433619016134</c:v>
                </c:pt>
                <c:pt idx="63">
                  <c:v>4514.8662667531344</c:v>
                </c:pt>
                <c:pt idx="64">
                  <c:v>4507.658447775998</c:v>
                </c:pt>
                <c:pt idx="65">
                  <c:v>4501.9647245322694</c:v>
                </c:pt>
                <c:pt idx="66">
                  <c:v>4489.6878076176426</c:v>
                </c:pt>
                <c:pt idx="67">
                  <c:v>4469.2439599704994</c:v>
                </c:pt>
                <c:pt idx="68">
                  <c:v>4453.8680679535109</c:v>
                </c:pt>
                <c:pt idx="69">
                  <c:v>4450.4513745835557</c:v>
                </c:pt>
                <c:pt idx="70">
                  <c:v>4448.1867977670963</c:v>
                </c:pt>
                <c:pt idx="71">
                  <c:v>4445.1174389427197</c:v>
                </c:pt>
                <c:pt idx="72">
                  <c:v>4440.3947623407339</c:v>
                </c:pt>
                <c:pt idx="73">
                  <c:v>4440.1034046692603</c:v>
                </c:pt>
                <c:pt idx="74">
                  <c:v>4433.5623566287732</c:v>
                </c:pt>
                <c:pt idx="75">
                  <c:v>4431.8542242058948</c:v>
                </c:pt>
                <c:pt idx="76">
                  <c:v>4423.6462922696101</c:v>
                </c:pt>
                <c:pt idx="77">
                  <c:v>4420.9940648762749</c:v>
                </c:pt>
                <c:pt idx="78">
                  <c:v>4415.7721556759316</c:v>
                </c:pt>
                <c:pt idx="79">
                  <c:v>4412.9249554945191</c:v>
                </c:pt>
                <c:pt idx="80">
                  <c:v>4408.8000089010957</c:v>
                </c:pt>
                <c:pt idx="81">
                  <c:v>4390.2036413960313</c:v>
                </c:pt>
                <c:pt idx="82">
                  <c:v>4393.5648116358516</c:v>
                </c:pt>
                <c:pt idx="83">
                  <c:v>4392.0360973356064</c:v>
                </c:pt>
                <c:pt idx="84">
                  <c:v>4391.4105060485072</c:v>
                </c:pt>
                <c:pt idx="85">
                  <c:v>4385.8266649288335</c:v>
                </c:pt>
                <c:pt idx="86">
                  <c:v>4397.9510452429986</c:v>
                </c:pt>
                <c:pt idx="87">
                  <c:v>4379.9643776014509</c:v>
                </c:pt>
                <c:pt idx="88">
                  <c:v>4379.3805432635654</c:v>
                </c:pt>
                <c:pt idx="89">
                  <c:v>4375.9908030484139</c:v>
                </c:pt>
                <c:pt idx="90">
                  <c:v>4371.2687529140494</c:v>
                </c:pt>
                <c:pt idx="91">
                  <c:v>4367.4633438027176</c:v>
                </c:pt>
                <c:pt idx="92">
                  <c:v>4355.4497174961643</c:v>
                </c:pt>
                <c:pt idx="93">
                  <c:v>4354.7268471893731</c:v>
                </c:pt>
                <c:pt idx="94">
                  <c:v>4351.0328488593877</c:v>
                </c:pt>
                <c:pt idx="95">
                  <c:v>4346.5751973076303</c:v>
                </c:pt>
                <c:pt idx="96">
                  <c:v>4343.5755277078406</c:v>
                </c:pt>
                <c:pt idx="97">
                  <c:v>4332.1457738867284</c:v>
                </c:pt>
                <c:pt idx="98">
                  <c:v>4327.8262014360434</c:v>
                </c:pt>
                <c:pt idx="99">
                  <c:v>4325.32586785687</c:v>
                </c:pt>
                <c:pt idx="100">
                  <c:v>4322.8111530734213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917-429D-982D-91D8BF69C383}"/>
            </c:ext>
          </c:extLst>
        </c:ser>
        <c:ser>
          <c:idx val="4"/>
          <c:order val="4"/>
          <c:tx>
            <c:v>cell #5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'Avg. disch. Cap.'!$K$29:$K$129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'Avg. disch. Cap.'!$L$29:$L$129</c:f>
              <c:numCache>
                <c:formatCode>General</c:formatCode>
                <c:ptCount val="101"/>
                <c:pt idx="0">
                  <c:v>5100.74</c:v>
                </c:pt>
                <c:pt idx="1">
                  <c:v>4797.3321412222476</c:v>
                </c:pt>
                <c:pt idx="2">
                  <c:v>4803.9158954502682</c:v>
                </c:pt>
                <c:pt idx="3">
                  <c:v>4794.9994761069147</c:v>
                </c:pt>
                <c:pt idx="4">
                  <c:v>4786.5261433669884</c:v>
                </c:pt>
                <c:pt idx="5">
                  <c:v>4779.8334944007865</c:v>
                </c:pt>
                <c:pt idx="6">
                  <c:v>4771.1247884930017</c:v>
                </c:pt>
                <c:pt idx="7">
                  <c:v>4764.0965944830159</c:v>
                </c:pt>
                <c:pt idx="8">
                  <c:v>4759.7644316438209</c:v>
                </c:pt>
                <c:pt idx="9">
                  <c:v>4753.153312055475</c:v>
                </c:pt>
                <c:pt idx="10">
                  <c:v>4747.4868725786901</c:v>
                </c:pt>
                <c:pt idx="11">
                  <c:v>4747.6528180446412</c:v>
                </c:pt>
                <c:pt idx="12">
                  <c:v>4740.931113145647</c:v>
                </c:pt>
                <c:pt idx="13">
                  <c:v>4732.9586497461069</c:v>
                </c:pt>
                <c:pt idx="14">
                  <c:v>4728.3200827801938</c:v>
                </c:pt>
                <c:pt idx="15">
                  <c:v>4724.1945580393849</c:v>
                </c:pt>
                <c:pt idx="16">
                  <c:v>4716.7365587090871</c:v>
                </c:pt>
                <c:pt idx="17">
                  <c:v>4719.9998067190563</c:v>
                </c:pt>
                <c:pt idx="18">
                  <c:v>4718.8611301848887</c:v>
                </c:pt>
                <c:pt idx="19">
                  <c:v>4713.4442583691498</c:v>
                </c:pt>
                <c:pt idx="20">
                  <c:v>4707.4169423887151</c:v>
                </c:pt>
                <c:pt idx="21">
                  <c:v>4704.1389418716026</c:v>
                </c:pt>
                <c:pt idx="22">
                  <c:v>4714.7636807727849</c:v>
                </c:pt>
                <c:pt idx="23">
                  <c:v>4709.5971997575507</c:v>
                </c:pt>
                <c:pt idx="24">
                  <c:v>4705.000178657715</c:v>
                </c:pt>
                <c:pt idx="25">
                  <c:v>4700.29237260836</c:v>
                </c:pt>
                <c:pt idx="26">
                  <c:v>4697.5562445427804</c:v>
                </c:pt>
                <c:pt idx="27">
                  <c:v>4693.514566431847</c:v>
                </c:pt>
                <c:pt idx="28">
                  <c:v>4688.8619711265401</c:v>
                </c:pt>
                <c:pt idx="29">
                  <c:v>4684.5568243856123</c:v>
                </c:pt>
                <c:pt idx="30">
                  <c:v>4679.4732149063693</c:v>
                </c:pt>
                <c:pt idx="31">
                  <c:v>4676.2929831811671</c:v>
                </c:pt>
                <c:pt idx="32">
                  <c:v>4671.7095116689134</c:v>
                </c:pt>
                <c:pt idx="33">
                  <c:v>4668.6821850919359</c:v>
                </c:pt>
                <c:pt idx="34">
                  <c:v>4664.2517882725942</c:v>
                </c:pt>
                <c:pt idx="35">
                  <c:v>4660.8354850673513</c:v>
                </c:pt>
                <c:pt idx="36">
                  <c:v>4657.2796982952277</c:v>
                </c:pt>
                <c:pt idx="37">
                  <c:v>4647.9331962140668</c:v>
                </c:pt>
                <c:pt idx="38">
                  <c:v>4646.5163377499721</c:v>
                </c:pt>
                <c:pt idx="39">
                  <c:v>4623.346154514551</c:v>
                </c:pt>
                <c:pt idx="40">
                  <c:v>4621.1254062714579</c:v>
                </c:pt>
                <c:pt idx="41">
                  <c:v>4616.6681205123641</c:v>
                </c:pt>
                <c:pt idx="42">
                  <c:v>4612.7804464111632</c:v>
                </c:pt>
                <c:pt idx="43">
                  <c:v>4609.1695828352958</c:v>
                </c:pt>
                <c:pt idx="44">
                  <c:v>4605.9188177648921</c:v>
                </c:pt>
                <c:pt idx="45">
                  <c:v>4605.0559997626378</c:v>
                </c:pt>
                <c:pt idx="46">
                  <c:v>4601.9992614209541</c:v>
                </c:pt>
                <c:pt idx="47">
                  <c:v>4597.5688321761909</c:v>
                </c:pt>
                <c:pt idx="48">
                  <c:v>4592.9306926748213</c:v>
                </c:pt>
                <c:pt idx="49">
                  <c:v>4586.7921053635464</c:v>
                </c:pt>
                <c:pt idx="50">
                  <c:v>4585.3058073294169</c:v>
                </c:pt>
                <c:pt idx="51">
                  <c:v>4582.054992667192</c:v>
                </c:pt>
                <c:pt idx="52">
                  <c:v>4576.1395064554144</c:v>
                </c:pt>
                <c:pt idx="53">
                  <c:v>4573.4317764892376</c:v>
                </c:pt>
                <c:pt idx="54">
                  <c:v>4574.2365631596349</c:v>
                </c:pt>
                <c:pt idx="55">
                  <c:v>4570.4598961114934</c:v>
                </c:pt>
                <c:pt idx="56">
                  <c:v>4567.2090736078262</c:v>
                </c:pt>
                <c:pt idx="57">
                  <c:v>4565.6676180242957</c:v>
                </c:pt>
                <c:pt idx="58">
                  <c:v>4562.6947398760631</c:v>
                </c:pt>
                <c:pt idx="59">
                  <c:v>4574.345469977874</c:v>
                </c:pt>
                <c:pt idx="60">
                  <c:v>4572.4993608165269</c:v>
                </c:pt>
                <c:pt idx="61">
                  <c:v>4568.3893716673874</c:v>
                </c:pt>
                <c:pt idx="62">
                  <c:v>4567.320442214932</c:v>
                </c:pt>
                <c:pt idx="63">
                  <c:v>4562.4592011902041</c:v>
                </c:pt>
                <c:pt idx="64">
                  <c:v>4561.9449579529173</c:v>
                </c:pt>
                <c:pt idx="65">
                  <c:v>4557.3635203411241</c:v>
                </c:pt>
                <c:pt idx="66">
                  <c:v>4553.8236226613426</c:v>
                </c:pt>
                <c:pt idx="67">
                  <c:v>4549.7244985715861</c:v>
                </c:pt>
                <c:pt idx="68">
                  <c:v>4545.7524049913955</c:v>
                </c:pt>
                <c:pt idx="69">
                  <c:v>4542.2660643591626</c:v>
                </c:pt>
                <c:pt idx="70">
                  <c:v>4538.446877622644</c:v>
                </c:pt>
                <c:pt idx="71">
                  <c:v>4532.1260441833456</c:v>
                </c:pt>
                <c:pt idx="72">
                  <c:v>4532.7237572374388</c:v>
                </c:pt>
                <c:pt idx="73">
                  <c:v>4525.2251852275713</c:v>
                </c:pt>
                <c:pt idx="74">
                  <c:v>4529.5315105160089</c:v>
                </c:pt>
                <c:pt idx="75">
                  <c:v>4511.3512037672826</c:v>
                </c:pt>
                <c:pt idx="76">
                  <c:v>4511.7543170316112</c:v>
                </c:pt>
                <c:pt idx="77">
                  <c:v>4508.1284436645392</c:v>
                </c:pt>
                <c:pt idx="78">
                  <c:v>4504.7382721700869</c:v>
                </c:pt>
                <c:pt idx="79">
                  <c:v>4504.7510727940116</c:v>
                </c:pt>
                <c:pt idx="80">
                  <c:v>4495.9044399515114</c:v>
                </c:pt>
                <c:pt idx="81">
                  <c:v>4493.723309639463</c:v>
                </c:pt>
                <c:pt idx="82">
                  <c:v>4490.4582218577016</c:v>
                </c:pt>
                <c:pt idx="83">
                  <c:v>4484.9582214338398</c:v>
                </c:pt>
                <c:pt idx="84">
                  <c:v>4480.7230385798939</c:v>
                </c:pt>
                <c:pt idx="85">
                  <c:v>4476.3903700736673</c:v>
                </c:pt>
                <c:pt idx="86">
                  <c:v>4471.8079573679879</c:v>
                </c:pt>
                <c:pt idx="87">
                  <c:v>4470.0857328145266</c:v>
                </c:pt>
                <c:pt idx="88">
                  <c:v>4467.2808838364572</c:v>
                </c:pt>
                <c:pt idx="89">
                  <c:v>4464.280670845943</c:v>
                </c:pt>
                <c:pt idx="90">
                  <c:v>4455.2949808414514</c:v>
                </c:pt>
                <c:pt idx="91">
                  <c:v>4452.1141203173866</c:v>
                </c:pt>
                <c:pt idx="92">
                  <c:v>4452.2251742071667</c:v>
                </c:pt>
                <c:pt idx="93">
                  <c:v>4448.4472249773225</c:v>
                </c:pt>
                <c:pt idx="94">
                  <c:v>4442.1297582716616</c:v>
                </c:pt>
                <c:pt idx="95">
                  <c:v>4435.644166179226</c:v>
                </c:pt>
                <c:pt idx="96">
                  <c:v>4431.1859318176039</c:v>
                </c:pt>
                <c:pt idx="97">
                  <c:v>4426.9081175877182</c:v>
                </c:pt>
                <c:pt idx="98">
                  <c:v>4422.6723305188916</c:v>
                </c:pt>
                <c:pt idx="99">
                  <c:v>4419.7013080372662</c:v>
                </c:pt>
                <c:pt idx="100">
                  <c:v>4415.6335999423554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917-429D-982D-91D8BF69C383}"/>
            </c:ext>
          </c:extLst>
        </c:ser>
        <c:ser>
          <c:idx val="5"/>
          <c:order val="5"/>
          <c:tx>
            <c:v>cell #6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'Avg. disch. Cap.'!$M$29:$M$129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'Avg. disch. Cap.'!$N$29:$N$129</c:f>
              <c:numCache>
                <c:formatCode>General</c:formatCode>
                <c:ptCount val="101"/>
                <c:pt idx="0">
                  <c:v>5054.1499999999996</c:v>
                </c:pt>
                <c:pt idx="1">
                  <c:v>4764.2229052753828</c:v>
                </c:pt>
                <c:pt idx="2">
                  <c:v>4769.5700531098737</c:v>
                </c:pt>
                <c:pt idx="3">
                  <c:v>4760.3893532294023</c:v>
                </c:pt>
                <c:pt idx="4">
                  <c:v>4752.8054868899571</c:v>
                </c:pt>
                <c:pt idx="5">
                  <c:v>4747.0283438451042</c:v>
                </c:pt>
                <c:pt idx="6">
                  <c:v>4736.6673912582764</c:v>
                </c:pt>
                <c:pt idx="7">
                  <c:v>4729.5554926120903</c:v>
                </c:pt>
                <c:pt idx="8">
                  <c:v>4725.7784402736452</c:v>
                </c:pt>
                <c:pt idx="9">
                  <c:v>4719.2229377008043</c:v>
                </c:pt>
                <c:pt idx="10">
                  <c:v>4712.2505467816181</c:v>
                </c:pt>
                <c:pt idx="11">
                  <c:v>4716.2500977001264</c:v>
                </c:pt>
                <c:pt idx="12">
                  <c:v>4707.8475110839836</c:v>
                </c:pt>
                <c:pt idx="13">
                  <c:v>4698.486765341675</c:v>
                </c:pt>
                <c:pt idx="14">
                  <c:v>4694.8616163542802</c:v>
                </c:pt>
                <c:pt idx="15">
                  <c:v>4690.2227880776172</c:v>
                </c:pt>
                <c:pt idx="16">
                  <c:v>4684.4315808770543</c:v>
                </c:pt>
                <c:pt idx="17">
                  <c:v>4679.18152301993</c:v>
                </c:pt>
                <c:pt idx="18">
                  <c:v>4682.5285220789574</c:v>
                </c:pt>
                <c:pt idx="19">
                  <c:v>4679.0563522036573</c:v>
                </c:pt>
                <c:pt idx="20">
                  <c:v>4673.6536683112499</c:v>
                </c:pt>
                <c:pt idx="21">
                  <c:v>4669.749401719183</c:v>
                </c:pt>
                <c:pt idx="22">
                  <c:v>4673.4143850190312</c:v>
                </c:pt>
                <c:pt idx="23">
                  <c:v>4677.065365199257</c:v>
                </c:pt>
                <c:pt idx="24">
                  <c:v>4674.3423211091613</c:v>
                </c:pt>
                <c:pt idx="25">
                  <c:v>4668.6344101540317</c:v>
                </c:pt>
                <c:pt idx="26">
                  <c:v>4664.8016202114222</c:v>
                </c:pt>
                <c:pt idx="27">
                  <c:v>4661.8436278748422</c:v>
                </c:pt>
                <c:pt idx="28">
                  <c:v>4655.7607983011621</c:v>
                </c:pt>
                <c:pt idx="29">
                  <c:v>4651.3441858887954</c:v>
                </c:pt>
                <c:pt idx="30">
                  <c:v>4648.0666272475264</c:v>
                </c:pt>
                <c:pt idx="31">
                  <c:v>4645.2616044861516</c:v>
                </c:pt>
                <c:pt idx="32">
                  <c:v>4641.0675798767406</c:v>
                </c:pt>
                <c:pt idx="33">
                  <c:v>4636.9849603265429</c:v>
                </c:pt>
                <c:pt idx="34">
                  <c:v>4632.7770432254183</c:v>
                </c:pt>
                <c:pt idx="35">
                  <c:v>4627.8890012122447</c:v>
                </c:pt>
                <c:pt idx="36">
                  <c:v>4623.7785542924476</c:v>
                </c:pt>
                <c:pt idx="37">
                  <c:v>4618.8063952256216</c:v>
                </c:pt>
                <c:pt idx="38">
                  <c:v>4614.0710051032947</c:v>
                </c:pt>
                <c:pt idx="39">
                  <c:v>4600.681501614913</c:v>
                </c:pt>
                <c:pt idx="40">
                  <c:v>4581.1931260225674</c:v>
                </c:pt>
                <c:pt idx="41">
                  <c:v>4577.2067669523494</c:v>
                </c:pt>
                <c:pt idx="42">
                  <c:v>4571.6083869518407</c:v>
                </c:pt>
                <c:pt idx="43">
                  <c:v>4576.4852012919309</c:v>
                </c:pt>
                <c:pt idx="44">
                  <c:v>4567.3748389325456</c:v>
                </c:pt>
                <c:pt idx="45">
                  <c:v>4565.6669029695749</c:v>
                </c:pt>
                <c:pt idx="46">
                  <c:v>4561.3893875622016</c:v>
                </c:pt>
                <c:pt idx="47">
                  <c:v>4558.2646043674713</c:v>
                </c:pt>
                <c:pt idx="48">
                  <c:v>4552.7369378533949</c:v>
                </c:pt>
                <c:pt idx="49">
                  <c:v>4549.3906701677643</c:v>
                </c:pt>
                <c:pt idx="50">
                  <c:v>4546.2390870442423</c:v>
                </c:pt>
                <c:pt idx="51">
                  <c:v>4541.240425811483</c:v>
                </c:pt>
                <c:pt idx="52">
                  <c:v>4537.7686427100016</c:v>
                </c:pt>
                <c:pt idx="53">
                  <c:v>4532.6444550409879</c:v>
                </c:pt>
                <c:pt idx="54">
                  <c:v>4526.8395708823946</c:v>
                </c:pt>
                <c:pt idx="55">
                  <c:v>4531.0465493417423</c:v>
                </c:pt>
                <c:pt idx="56">
                  <c:v>4527.3663424124516</c:v>
                </c:pt>
                <c:pt idx="57">
                  <c:v>4523.8511329823759</c:v>
                </c:pt>
                <c:pt idx="58">
                  <c:v>4520.6988218763508</c:v>
                </c:pt>
                <c:pt idx="59">
                  <c:v>4533.3093707348917</c:v>
                </c:pt>
                <c:pt idx="60">
                  <c:v>4524.7816989225439</c:v>
                </c:pt>
                <c:pt idx="61">
                  <c:v>4523.2557723608252</c:v>
                </c:pt>
                <c:pt idx="62">
                  <c:v>4519.6726628264796</c:v>
                </c:pt>
                <c:pt idx="63">
                  <c:v>4515.8113942507398</c:v>
                </c:pt>
                <c:pt idx="64">
                  <c:v>4512.7413496181007</c:v>
                </c:pt>
                <c:pt idx="65">
                  <c:v>4510.1584655781899</c:v>
                </c:pt>
                <c:pt idx="66">
                  <c:v>4505.6735152123974</c:v>
                </c:pt>
                <c:pt idx="67">
                  <c:v>4502.0492457380706</c:v>
                </c:pt>
                <c:pt idx="68">
                  <c:v>4498.4089568339223</c:v>
                </c:pt>
                <c:pt idx="69">
                  <c:v>4493.7839718810137</c:v>
                </c:pt>
                <c:pt idx="70">
                  <c:v>4491.1036382170678</c:v>
                </c:pt>
                <c:pt idx="71">
                  <c:v>4486.1595985605654</c:v>
                </c:pt>
                <c:pt idx="72">
                  <c:v>4479.992274696303</c:v>
                </c:pt>
                <c:pt idx="73">
                  <c:v>4478.7425347354683</c:v>
                </c:pt>
                <c:pt idx="74">
                  <c:v>4472.9096265354392</c:v>
                </c:pt>
                <c:pt idx="75">
                  <c:v>4470.993889821385</c:v>
                </c:pt>
                <c:pt idx="76">
                  <c:v>4460.6885417461408</c:v>
                </c:pt>
                <c:pt idx="77">
                  <c:v>4457.1054099590547</c:v>
                </c:pt>
                <c:pt idx="78">
                  <c:v>4453.2028805642449</c:v>
                </c:pt>
                <c:pt idx="79">
                  <c:v>4447.9249552825886</c:v>
                </c:pt>
                <c:pt idx="80">
                  <c:v>4443.3271727151732</c:v>
                </c:pt>
                <c:pt idx="81">
                  <c:v>4440.7302514347721</c:v>
                </c:pt>
                <c:pt idx="82">
                  <c:v>4437.0780113255851</c:v>
                </c:pt>
                <c:pt idx="83">
                  <c:v>4434.368864813543</c:v>
                </c:pt>
                <c:pt idx="84">
                  <c:v>4430.840058111442</c:v>
                </c:pt>
                <c:pt idx="85">
                  <c:v>4426.92247314836</c:v>
                </c:pt>
                <c:pt idx="86">
                  <c:v>4421.6581360257032</c:v>
                </c:pt>
                <c:pt idx="87">
                  <c:v>4420.5187580003903</c:v>
                </c:pt>
                <c:pt idx="88">
                  <c:v>4166.542358832854</c:v>
                </c:pt>
                <c:pt idx="89">
                  <c:v>4411.1728111780812</c:v>
                </c:pt>
                <c:pt idx="90">
                  <c:v>4408.0065162381416</c:v>
                </c:pt>
                <c:pt idx="91">
                  <c:v>4399.4239558166546</c:v>
                </c:pt>
                <c:pt idx="92">
                  <c:v>4396.8134976645206</c:v>
                </c:pt>
                <c:pt idx="93">
                  <c:v>4394.4394375778847</c:v>
                </c:pt>
                <c:pt idx="94">
                  <c:v>4390.6758509024012</c:v>
                </c:pt>
                <c:pt idx="95">
                  <c:v>4386.3840742436187</c:v>
                </c:pt>
                <c:pt idx="96">
                  <c:v>4383.2589712452209</c:v>
                </c:pt>
                <c:pt idx="97">
                  <c:v>4376.7867348236314</c:v>
                </c:pt>
                <c:pt idx="98">
                  <c:v>4373.2445663046883</c:v>
                </c:pt>
                <c:pt idx="99">
                  <c:v>4369.2019453133607</c:v>
                </c:pt>
                <c:pt idx="100">
                  <c:v>4364.3970490747097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917-429D-982D-91D8BF69C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935567"/>
        <c:axId val="1202921167"/>
      </c:scatterChart>
      <c:valAx>
        <c:axId val="120293556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Cycle</a:t>
                </a:r>
                <a:r>
                  <a:rPr lang="pt-BR" b="1" baseline="0"/>
                  <a:t> number</a:t>
                </a:r>
                <a:endParaRPr lang="pt-BR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crossBetween val="midCat"/>
        <c:majorUnit val="10"/>
        <c:minorUnit val="1"/>
      </c:valAx>
      <c:valAx>
        <c:axId val="1202921167"/>
        <c:scaling>
          <c:orientation val="minMax"/>
          <c:max val="5200"/>
          <c:min val="4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Discharge</a:t>
                </a:r>
                <a:r>
                  <a:rPr lang="pt-BR" b="1" baseline="0"/>
                  <a:t> capacity [mAh]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1</xdr:row>
      <xdr:rowOff>0</xdr:rowOff>
    </xdr:from>
    <xdr:to>
      <xdr:col>16</xdr:col>
      <xdr:colOff>512646</xdr:colOff>
      <xdr:row>23</xdr:row>
      <xdr:rowOff>100816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B1865EF0-5EBF-488B-B8C3-C027CC1E1D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27</xdr:row>
      <xdr:rowOff>0</xdr:rowOff>
    </xdr:from>
    <xdr:to>
      <xdr:col>30</xdr:col>
      <xdr:colOff>131646</xdr:colOff>
      <xdr:row>50</xdr:row>
      <xdr:rowOff>53191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6BE505AD-595D-4D02-BCAF-62263E03E0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8:AA129"/>
  <sheetViews>
    <sheetView tabSelected="1" topLeftCell="P16" zoomScale="104" zoomScaleNormal="85" workbookViewId="0">
      <selection activeCell="AA24" sqref="AA24"/>
    </sheetView>
  </sheetViews>
  <sheetFormatPr baseColWidth="10" defaultColWidth="9.1796875" defaultRowHeight="14.5" x14ac:dyDescent="0.35"/>
  <cols>
    <col min="4" max="4" width="10.7265625" customWidth="1"/>
    <col min="16" max="16" width="12" customWidth="1"/>
    <col min="20" max="20" width="6.81640625" customWidth="1"/>
    <col min="21" max="21" width="12" customWidth="1"/>
    <col min="22" max="22" width="22.453125" customWidth="1"/>
    <col min="23" max="23" width="11" customWidth="1"/>
    <col min="24" max="24" width="12.54296875" customWidth="1"/>
    <col min="26" max="26" width="16.81640625" customWidth="1"/>
  </cols>
  <sheetData>
    <row r="18" spans="3:27" ht="26.25" customHeight="1" x14ac:dyDescent="0.35">
      <c r="T18" s="4" t="s">
        <v>11</v>
      </c>
      <c r="U18" s="4" t="s">
        <v>12</v>
      </c>
      <c r="V18" s="5" t="s">
        <v>7</v>
      </c>
      <c r="W18" s="4" t="s">
        <v>8</v>
      </c>
      <c r="X18" s="4" t="s">
        <v>9</v>
      </c>
    </row>
    <row r="19" spans="3:27" x14ac:dyDescent="0.35">
      <c r="T19" s="6" t="s">
        <v>10</v>
      </c>
      <c r="U19" s="6" t="s">
        <v>13</v>
      </c>
      <c r="V19" s="7">
        <v>5120.33</v>
      </c>
      <c r="W19" s="3">
        <v>4359.71</v>
      </c>
      <c r="X19" s="8">
        <f t="shared" ref="X19:X24" si="0">W19/V19</f>
        <v>0.85145098069850966</v>
      </c>
    </row>
    <row r="20" spans="3:27" x14ac:dyDescent="0.35">
      <c r="T20" s="6" t="s">
        <v>14</v>
      </c>
      <c r="U20" s="6" t="s">
        <v>15</v>
      </c>
      <c r="V20" s="7">
        <v>5093.96</v>
      </c>
      <c r="W20" s="3">
        <v>4320.8</v>
      </c>
      <c r="X20" s="8">
        <f t="shared" si="0"/>
        <v>0.84822024515308325</v>
      </c>
    </row>
    <row r="21" spans="3:27" x14ac:dyDescent="0.35">
      <c r="T21" s="6" t="s">
        <v>16</v>
      </c>
      <c r="U21" s="6" t="s">
        <v>13</v>
      </c>
      <c r="V21" s="7">
        <v>5095.83</v>
      </c>
      <c r="W21" s="3">
        <v>4239.72</v>
      </c>
      <c r="X21" s="8">
        <f t="shared" si="0"/>
        <v>0.83199792771736902</v>
      </c>
    </row>
    <row r="22" spans="3:27" ht="29" x14ac:dyDescent="0.35">
      <c r="T22" s="6" t="s">
        <v>17</v>
      </c>
      <c r="U22" s="6" t="s">
        <v>18</v>
      </c>
      <c r="V22" s="7">
        <v>5062.82</v>
      </c>
      <c r="W22" s="3">
        <v>4322.8100000000004</v>
      </c>
      <c r="X22" s="8">
        <f t="shared" si="0"/>
        <v>0.85383442429318057</v>
      </c>
      <c r="Z22" s="14" t="s">
        <v>22</v>
      </c>
      <c r="AA22" s="15">
        <f>_xlfn.STDEV.S(W19:W24)</f>
        <v>58.9511402490796</v>
      </c>
    </row>
    <row r="23" spans="3:27" x14ac:dyDescent="0.35">
      <c r="T23" s="6" t="s">
        <v>19</v>
      </c>
      <c r="U23" s="6" t="s">
        <v>13</v>
      </c>
      <c r="V23" s="7">
        <v>5100.74</v>
      </c>
      <c r="W23" s="3">
        <v>4415.63</v>
      </c>
      <c r="X23" s="8">
        <f t="shared" si="0"/>
        <v>0.86568419484231707</v>
      </c>
    </row>
    <row r="24" spans="3:27" ht="15" thickBot="1" x14ac:dyDescent="0.4">
      <c r="T24" s="6" t="s">
        <v>20</v>
      </c>
      <c r="U24" s="6" t="s">
        <v>13</v>
      </c>
      <c r="V24" s="7">
        <v>5054.1499999999996</v>
      </c>
      <c r="W24" s="3">
        <v>4364.3999999999996</v>
      </c>
      <c r="X24" s="8">
        <f t="shared" si="0"/>
        <v>0.86352799184828311</v>
      </c>
    </row>
    <row r="25" spans="3:27" ht="15" thickBot="1" x14ac:dyDescent="0.4">
      <c r="T25" s="6"/>
      <c r="V25" s="7"/>
      <c r="W25" s="9" t="s">
        <v>21</v>
      </c>
      <c r="X25" s="10">
        <f>AVERAGE(X19:X24)</f>
        <v>0.85245262742545702</v>
      </c>
    </row>
    <row r="26" spans="3:27" x14ac:dyDescent="0.35">
      <c r="T26" s="6"/>
      <c r="U26" s="13" t="s">
        <v>15</v>
      </c>
      <c r="V26" s="11">
        <f>AVERAGE(V19:V24)</f>
        <v>5087.9716666666673</v>
      </c>
      <c r="W26" s="12">
        <f>AVERAGE(W19:W24)</f>
        <v>4337.1783333333333</v>
      </c>
      <c r="X26" s="8"/>
    </row>
    <row r="27" spans="3:27" x14ac:dyDescent="0.35">
      <c r="T27" s="6"/>
      <c r="U27" s="6"/>
      <c r="V27" s="7"/>
      <c r="W27" s="3"/>
      <c r="X27" s="8"/>
    </row>
    <row r="28" spans="3:27" x14ac:dyDescent="0.35">
      <c r="D28" s="1" t="s">
        <v>1</v>
      </c>
      <c r="F28" s="1" t="s">
        <v>2</v>
      </c>
      <c r="H28" s="1" t="s">
        <v>3</v>
      </c>
      <c r="J28" s="1" t="s">
        <v>4</v>
      </c>
      <c r="L28" s="1" t="s">
        <v>5</v>
      </c>
      <c r="N28" s="1" t="s">
        <v>6</v>
      </c>
      <c r="P28" s="2" t="s">
        <v>0</v>
      </c>
    </row>
    <row r="29" spans="3:27" x14ac:dyDescent="0.35">
      <c r="C29">
        <v>0</v>
      </c>
      <c r="D29">
        <v>5120.33</v>
      </c>
      <c r="E29">
        <v>0</v>
      </c>
      <c r="F29">
        <v>5093.96</v>
      </c>
      <c r="G29">
        <v>0</v>
      </c>
      <c r="H29">
        <v>5095.83</v>
      </c>
      <c r="I29">
        <v>0</v>
      </c>
      <c r="J29">
        <v>5062.82</v>
      </c>
      <c r="K29">
        <v>0</v>
      </c>
      <c r="L29">
        <v>5100.74</v>
      </c>
      <c r="M29">
        <v>0</v>
      </c>
      <c r="N29">
        <v>5054.1499999999996</v>
      </c>
      <c r="O29">
        <v>0</v>
      </c>
      <c r="P29">
        <f t="shared" ref="P29:P34" si="1">AVERAGE(D29,F29,H29,J29,L29,N29)</f>
        <v>5087.9716666666673</v>
      </c>
    </row>
    <row r="30" spans="3:27" x14ac:dyDescent="0.35">
      <c r="C30">
        <v>1</v>
      </c>
      <c r="D30">
        <v>4788.2364752083276</v>
      </c>
      <c r="E30">
        <v>1</v>
      </c>
      <c r="F30">
        <v>4777.2348969592158</v>
      </c>
      <c r="G30">
        <v>1</v>
      </c>
      <c r="H30">
        <v>4791.2179766113104</v>
      </c>
      <c r="I30">
        <v>1</v>
      </c>
      <c r="J30">
        <v>4774.6670229224419</v>
      </c>
      <c r="K30">
        <v>1</v>
      </c>
      <c r="L30">
        <v>4797.3321412222476</v>
      </c>
      <c r="M30">
        <v>1</v>
      </c>
      <c r="N30">
        <v>4764.2229052753828</v>
      </c>
      <c r="O30">
        <v>1</v>
      </c>
      <c r="P30">
        <f t="shared" si="1"/>
        <v>4782.1519030331538</v>
      </c>
    </row>
    <row r="31" spans="3:27" x14ac:dyDescent="0.35">
      <c r="C31">
        <v>2</v>
      </c>
      <c r="D31">
        <v>4804.8620789993474</v>
      </c>
      <c r="E31">
        <v>2</v>
      </c>
      <c r="F31">
        <v>4787.3043636564007</v>
      </c>
      <c r="G31">
        <v>2</v>
      </c>
      <c r="H31">
        <v>4790.6208455193573</v>
      </c>
      <c r="I31">
        <v>2</v>
      </c>
      <c r="J31">
        <v>4781.1251850156405</v>
      </c>
      <c r="K31">
        <v>2</v>
      </c>
      <c r="L31">
        <v>4803.9158954502682</v>
      </c>
      <c r="M31">
        <v>2</v>
      </c>
      <c r="N31">
        <v>4769.5700531098737</v>
      </c>
      <c r="O31">
        <v>2</v>
      </c>
      <c r="P31">
        <f t="shared" si="1"/>
        <v>4789.5664036251474</v>
      </c>
    </row>
    <row r="32" spans="3:27" x14ac:dyDescent="0.35">
      <c r="C32">
        <v>3</v>
      </c>
      <c r="D32">
        <v>4795.835330781686</v>
      </c>
      <c r="E32">
        <v>3</v>
      </c>
      <c r="F32">
        <v>4775.5407833388444</v>
      </c>
      <c r="G32">
        <v>3</v>
      </c>
      <c r="H32">
        <v>4769.1356185837931</v>
      </c>
      <c r="I32">
        <v>3</v>
      </c>
      <c r="J32">
        <v>4769.6254482337681</v>
      </c>
      <c r="K32">
        <v>3</v>
      </c>
      <c r="L32">
        <v>4794.9994761069147</v>
      </c>
      <c r="M32">
        <v>3</v>
      </c>
      <c r="N32">
        <v>4760.3893532294023</v>
      </c>
      <c r="O32">
        <v>3</v>
      </c>
      <c r="P32">
        <f t="shared" si="1"/>
        <v>4777.5876683790675</v>
      </c>
    </row>
    <row r="33" spans="3:16" x14ac:dyDescent="0.35">
      <c r="C33">
        <v>4</v>
      </c>
      <c r="D33">
        <v>4786.9731456049776</v>
      </c>
      <c r="E33">
        <v>4</v>
      </c>
      <c r="F33">
        <v>4767.4432180005597</v>
      </c>
      <c r="G33">
        <v>4</v>
      </c>
      <c r="H33">
        <v>4754.5935227571354</v>
      </c>
      <c r="I33">
        <v>4</v>
      </c>
      <c r="J33">
        <v>4760.3331275484688</v>
      </c>
      <c r="K33">
        <v>4</v>
      </c>
      <c r="L33">
        <v>4786.5261433669884</v>
      </c>
      <c r="M33">
        <v>4</v>
      </c>
      <c r="N33">
        <v>4752.8054868899571</v>
      </c>
      <c r="O33">
        <v>4</v>
      </c>
      <c r="P33">
        <f t="shared" si="1"/>
        <v>4768.112440694681</v>
      </c>
    </row>
    <row r="34" spans="3:16" x14ac:dyDescent="0.35">
      <c r="C34">
        <v>5</v>
      </c>
      <c r="D34">
        <v>4783.9605552164658</v>
      </c>
      <c r="E34">
        <v>5</v>
      </c>
      <c r="F34">
        <v>4760.8610223120813</v>
      </c>
      <c r="G34">
        <v>5</v>
      </c>
      <c r="H34">
        <v>4743.5391277349681</v>
      </c>
      <c r="I34">
        <v>5</v>
      </c>
      <c r="J34">
        <v>4752.4589059705158</v>
      </c>
      <c r="K34">
        <v>5</v>
      </c>
      <c r="L34">
        <v>4779.8334944007865</v>
      </c>
      <c r="M34">
        <v>5</v>
      </c>
      <c r="N34">
        <v>4747.0283438451042</v>
      </c>
      <c r="O34">
        <v>5</v>
      </c>
      <c r="P34">
        <f t="shared" si="1"/>
        <v>4761.280241579987</v>
      </c>
    </row>
    <row r="35" spans="3:16" x14ac:dyDescent="0.35">
      <c r="C35">
        <v>6</v>
      </c>
      <c r="D35">
        <v>4772.2664131973588</v>
      </c>
      <c r="E35">
        <v>6</v>
      </c>
      <c r="F35">
        <v>4753.652923586209</v>
      </c>
      <c r="G35">
        <v>6</v>
      </c>
      <c r="H35">
        <v>4734.6218002678806</v>
      </c>
      <c r="I35">
        <v>6</v>
      </c>
      <c r="J35">
        <v>4739.8478891686373</v>
      </c>
      <c r="K35">
        <v>6</v>
      </c>
      <c r="L35">
        <v>4771.1247884930017</v>
      </c>
      <c r="M35">
        <v>6</v>
      </c>
      <c r="N35">
        <v>4736.6673912582764</v>
      </c>
      <c r="O35">
        <v>6</v>
      </c>
      <c r="P35">
        <f t="shared" ref="P35:P98" si="2">AVERAGE(D35,F35,H35,J35,L35,N35)</f>
        <v>4751.3635343285614</v>
      </c>
    </row>
    <row r="36" spans="3:16" x14ac:dyDescent="0.35">
      <c r="C36">
        <v>7</v>
      </c>
      <c r="D36">
        <v>4768.0159039275031</v>
      </c>
      <c r="E36">
        <v>7</v>
      </c>
      <c r="F36">
        <v>4745.2080012376764</v>
      </c>
      <c r="G36">
        <v>7</v>
      </c>
      <c r="H36">
        <v>4733.8997191916114</v>
      </c>
      <c r="I36">
        <v>7</v>
      </c>
      <c r="J36">
        <v>4724.1388259454234</v>
      </c>
      <c r="K36">
        <v>7</v>
      </c>
      <c r="L36">
        <v>4764.0965944830159</v>
      </c>
      <c r="M36">
        <v>7</v>
      </c>
      <c r="N36">
        <v>4729.5554926120903</v>
      </c>
      <c r="O36">
        <v>7</v>
      </c>
      <c r="P36">
        <f t="shared" si="2"/>
        <v>4744.152422899554</v>
      </c>
    </row>
    <row r="37" spans="3:16" x14ac:dyDescent="0.35">
      <c r="C37">
        <v>8</v>
      </c>
      <c r="D37">
        <v>4762.9334515907531</v>
      </c>
      <c r="E37">
        <v>8</v>
      </c>
      <c r="F37">
        <v>4739.9729137526174</v>
      </c>
      <c r="G37">
        <v>8</v>
      </c>
      <c r="H37">
        <v>4727.6639300034758</v>
      </c>
      <c r="I37">
        <v>8</v>
      </c>
      <c r="J37">
        <v>4708.9870684028047</v>
      </c>
      <c r="K37">
        <v>8</v>
      </c>
      <c r="L37">
        <v>4759.7644316438209</v>
      </c>
      <c r="M37">
        <v>8</v>
      </c>
      <c r="N37">
        <v>4725.7784402736452</v>
      </c>
      <c r="O37">
        <v>8</v>
      </c>
      <c r="P37">
        <f t="shared" si="2"/>
        <v>4737.5167059445193</v>
      </c>
    </row>
    <row r="38" spans="3:16" x14ac:dyDescent="0.35">
      <c r="C38">
        <v>9</v>
      </c>
      <c r="D38">
        <v>4754.7251540737352</v>
      </c>
      <c r="E38">
        <v>9</v>
      </c>
      <c r="F38">
        <v>4733.3619005535638</v>
      </c>
      <c r="G38">
        <v>9</v>
      </c>
      <c r="H38">
        <v>4722.0253939794684</v>
      </c>
      <c r="I38">
        <v>9</v>
      </c>
      <c r="J38">
        <v>4702.3891323974467</v>
      </c>
      <c r="K38">
        <v>9</v>
      </c>
      <c r="L38">
        <v>4753.153312055475</v>
      </c>
      <c r="M38">
        <v>9</v>
      </c>
      <c r="N38">
        <v>4719.2229377008043</v>
      </c>
      <c r="O38">
        <v>9</v>
      </c>
      <c r="P38">
        <f t="shared" si="2"/>
        <v>4730.8129717934153</v>
      </c>
    </row>
    <row r="39" spans="3:16" x14ac:dyDescent="0.35">
      <c r="C39">
        <v>10</v>
      </c>
      <c r="D39">
        <v>4749.0860494392309</v>
      </c>
      <c r="E39">
        <v>10</v>
      </c>
      <c r="F39">
        <v>4726.6954591694002</v>
      </c>
      <c r="G39">
        <v>10</v>
      </c>
      <c r="H39">
        <v>4717.6082727211078</v>
      </c>
      <c r="I39">
        <v>10</v>
      </c>
      <c r="J39">
        <v>4696.9447928587779</v>
      </c>
      <c r="K39">
        <v>10</v>
      </c>
      <c r="L39">
        <v>4747.4868725786901</v>
      </c>
      <c r="M39">
        <v>10</v>
      </c>
      <c r="N39">
        <v>4712.2505467816181</v>
      </c>
      <c r="O39">
        <v>10</v>
      </c>
      <c r="P39">
        <f t="shared" si="2"/>
        <v>4725.0119989248042</v>
      </c>
    </row>
    <row r="40" spans="3:16" x14ac:dyDescent="0.35">
      <c r="C40">
        <v>11</v>
      </c>
      <c r="D40">
        <v>4740.2934812186868</v>
      </c>
      <c r="E40">
        <v>11</v>
      </c>
      <c r="F40">
        <v>4722.3619548078632</v>
      </c>
      <c r="G40">
        <v>11</v>
      </c>
      <c r="H40">
        <v>4710.3442130159456</v>
      </c>
      <c r="I40">
        <v>11</v>
      </c>
      <c r="J40">
        <v>4693.8196211947816</v>
      </c>
      <c r="K40">
        <v>11</v>
      </c>
      <c r="L40">
        <v>4747.6528180446412</v>
      </c>
      <c r="M40">
        <v>11</v>
      </c>
      <c r="N40">
        <v>4716.2500977001264</v>
      </c>
      <c r="O40">
        <v>11</v>
      </c>
      <c r="P40">
        <f t="shared" si="2"/>
        <v>4721.7870309970067</v>
      </c>
    </row>
    <row r="41" spans="3:16" x14ac:dyDescent="0.35">
      <c r="C41">
        <v>12</v>
      </c>
      <c r="D41">
        <v>4736.2931391622797</v>
      </c>
      <c r="E41">
        <v>12</v>
      </c>
      <c r="F41">
        <v>4712.9040283817803</v>
      </c>
      <c r="G41">
        <v>12</v>
      </c>
      <c r="H41">
        <v>4698.6777279740254</v>
      </c>
      <c r="I41">
        <v>12</v>
      </c>
      <c r="J41">
        <v>4686.3888229783925</v>
      </c>
      <c r="K41">
        <v>12</v>
      </c>
      <c r="L41">
        <v>4740.931113145647</v>
      </c>
      <c r="M41">
        <v>12</v>
      </c>
      <c r="N41">
        <v>4707.8475110839836</v>
      </c>
      <c r="O41">
        <v>12</v>
      </c>
      <c r="P41">
        <f t="shared" si="2"/>
        <v>4713.8403904543511</v>
      </c>
    </row>
    <row r="42" spans="3:16" x14ac:dyDescent="0.35">
      <c r="C42">
        <v>13</v>
      </c>
      <c r="D42">
        <v>4731.4598102794944</v>
      </c>
      <c r="E42">
        <v>13</v>
      </c>
      <c r="F42">
        <v>4707.3618799962696</v>
      </c>
      <c r="G42">
        <v>13</v>
      </c>
      <c r="H42">
        <v>4690.6219846477288</v>
      </c>
      <c r="I42">
        <v>13</v>
      </c>
      <c r="J42">
        <v>4678.1249605808598</v>
      </c>
      <c r="K42">
        <v>13</v>
      </c>
      <c r="L42">
        <v>4732.9586497461069</v>
      </c>
      <c r="M42">
        <v>13</v>
      </c>
      <c r="N42">
        <v>4698.486765341675</v>
      </c>
      <c r="O42">
        <v>13</v>
      </c>
      <c r="P42">
        <f t="shared" si="2"/>
        <v>4706.5023417653547</v>
      </c>
    </row>
    <row r="43" spans="3:16" x14ac:dyDescent="0.35">
      <c r="C43">
        <v>14</v>
      </c>
      <c r="D43">
        <v>4727.7377923586209</v>
      </c>
      <c r="E43">
        <v>14</v>
      </c>
      <c r="F43">
        <v>4702.7506330374781</v>
      </c>
      <c r="G43">
        <v>14</v>
      </c>
      <c r="H43">
        <v>4682.0393169892259</v>
      </c>
      <c r="I43">
        <v>14</v>
      </c>
      <c r="J43">
        <v>4673.33299233658</v>
      </c>
      <c r="K43">
        <v>14</v>
      </c>
      <c r="L43">
        <v>4728.3200827801938</v>
      </c>
      <c r="M43">
        <v>14</v>
      </c>
      <c r="N43">
        <v>4694.8616163542802</v>
      </c>
      <c r="O43">
        <v>14</v>
      </c>
      <c r="P43">
        <f t="shared" si="2"/>
        <v>4701.5070723093968</v>
      </c>
    </row>
    <row r="44" spans="3:16" x14ac:dyDescent="0.35">
      <c r="C44">
        <v>15</v>
      </c>
      <c r="D44">
        <v>4720.1962770105883</v>
      </c>
      <c r="E44">
        <v>15</v>
      </c>
      <c r="F44">
        <v>4698.7783025185863</v>
      </c>
      <c r="G44">
        <v>15</v>
      </c>
      <c r="H44">
        <v>4676.6920010935628</v>
      </c>
      <c r="I44">
        <v>15</v>
      </c>
      <c r="J44">
        <v>4667.8191257004319</v>
      </c>
      <c r="K44">
        <v>15</v>
      </c>
      <c r="L44">
        <v>4724.1945580393849</v>
      </c>
      <c r="M44">
        <v>15</v>
      </c>
      <c r="N44">
        <v>4690.2227880776172</v>
      </c>
      <c r="O44">
        <v>15</v>
      </c>
      <c r="P44">
        <f t="shared" si="2"/>
        <v>4696.3171754066943</v>
      </c>
    </row>
    <row r="45" spans="3:16" x14ac:dyDescent="0.35">
      <c r="C45">
        <v>16</v>
      </c>
      <c r="D45">
        <v>4719.0854399260788</v>
      </c>
      <c r="E45">
        <v>16</v>
      </c>
      <c r="F45">
        <v>4693.5145441791074</v>
      </c>
      <c r="G45">
        <v>16</v>
      </c>
      <c r="H45">
        <v>4668.3589922263764</v>
      </c>
      <c r="I45">
        <v>16</v>
      </c>
      <c r="J45">
        <v>4661.4298474945545</v>
      </c>
      <c r="K45">
        <v>16</v>
      </c>
      <c r="L45">
        <v>4716.7365587090871</v>
      </c>
      <c r="M45">
        <v>16</v>
      </c>
      <c r="N45">
        <v>4684.4315808770543</v>
      </c>
      <c r="O45">
        <v>16</v>
      </c>
      <c r="P45">
        <f t="shared" si="2"/>
        <v>4690.5928272353767</v>
      </c>
    </row>
    <row r="46" spans="3:16" x14ac:dyDescent="0.35">
      <c r="C46">
        <v>17</v>
      </c>
      <c r="D46">
        <v>4713.2376815187818</v>
      </c>
      <c r="E46">
        <v>17</v>
      </c>
      <c r="F46">
        <v>4687.6674722158641</v>
      </c>
      <c r="G46">
        <v>17</v>
      </c>
      <c r="H46">
        <v>4669.2480894433002</v>
      </c>
      <c r="I46">
        <v>17</v>
      </c>
      <c r="J46">
        <v>4656.9572916931584</v>
      </c>
      <c r="K46">
        <v>17</v>
      </c>
      <c r="L46">
        <v>4719.9998067190563</v>
      </c>
      <c r="M46">
        <v>17</v>
      </c>
      <c r="N46">
        <v>4679.18152301993</v>
      </c>
      <c r="O46">
        <v>17</v>
      </c>
      <c r="P46">
        <f t="shared" si="2"/>
        <v>4687.715310768348</v>
      </c>
    </row>
    <row r="47" spans="3:16" x14ac:dyDescent="0.35">
      <c r="C47">
        <v>18</v>
      </c>
      <c r="D47">
        <v>4708.987998143486</v>
      </c>
      <c r="E47">
        <v>18</v>
      </c>
      <c r="F47">
        <v>4687.6248139247054</v>
      </c>
      <c r="G47">
        <v>18</v>
      </c>
      <c r="H47">
        <v>4660.1517513966246</v>
      </c>
      <c r="I47">
        <v>18</v>
      </c>
      <c r="J47">
        <v>4659.2765309885299</v>
      </c>
      <c r="K47">
        <v>18</v>
      </c>
      <c r="L47">
        <v>4718.8611301848887</v>
      </c>
      <c r="M47">
        <v>18</v>
      </c>
      <c r="N47">
        <v>4682.5285220789574</v>
      </c>
      <c r="O47">
        <v>18</v>
      </c>
      <c r="P47">
        <f t="shared" si="2"/>
        <v>4686.2384577861994</v>
      </c>
    </row>
    <row r="48" spans="3:16" x14ac:dyDescent="0.35">
      <c r="C48">
        <v>19</v>
      </c>
      <c r="D48">
        <v>4705.4324987496066</v>
      </c>
      <c r="E48">
        <v>19</v>
      </c>
      <c r="F48">
        <v>4680.5824180039508</v>
      </c>
      <c r="G48">
        <v>19</v>
      </c>
      <c r="H48">
        <v>4653.4295887269736</v>
      </c>
      <c r="I48">
        <v>19</v>
      </c>
      <c r="J48">
        <v>4655.2488559972198</v>
      </c>
      <c r="K48">
        <v>19</v>
      </c>
      <c r="L48">
        <v>4713.4442583691498</v>
      </c>
      <c r="M48">
        <v>19</v>
      </c>
      <c r="N48">
        <v>4679.0563522036573</v>
      </c>
      <c r="O48">
        <v>19</v>
      </c>
      <c r="P48">
        <f t="shared" si="2"/>
        <v>4681.1989953417587</v>
      </c>
    </row>
    <row r="49" spans="3:16" x14ac:dyDescent="0.35">
      <c r="C49">
        <v>20</v>
      </c>
      <c r="D49">
        <v>4699.766195332435</v>
      </c>
      <c r="E49">
        <v>20</v>
      </c>
      <c r="F49">
        <v>4678.1515360748708</v>
      </c>
      <c r="G49">
        <v>20</v>
      </c>
      <c r="H49">
        <v>4646.9158835821399</v>
      </c>
      <c r="I49">
        <v>20</v>
      </c>
      <c r="J49">
        <v>4649.248833108687</v>
      </c>
      <c r="K49">
        <v>20</v>
      </c>
      <c r="L49">
        <v>4707.4169423887151</v>
      </c>
      <c r="M49">
        <v>20</v>
      </c>
      <c r="N49">
        <v>4673.6536683112499</v>
      </c>
      <c r="O49">
        <v>20</v>
      </c>
      <c r="P49">
        <f t="shared" si="2"/>
        <v>4675.8588431330163</v>
      </c>
    </row>
    <row r="50" spans="3:16" x14ac:dyDescent="0.35">
      <c r="C50">
        <v>21</v>
      </c>
      <c r="D50">
        <v>4693.9613287641041</v>
      </c>
      <c r="E50">
        <v>21</v>
      </c>
      <c r="F50">
        <v>4672.221159600892</v>
      </c>
      <c r="G50">
        <v>21</v>
      </c>
      <c r="H50">
        <v>4641.041418071768</v>
      </c>
      <c r="I50">
        <v>21</v>
      </c>
      <c r="J50">
        <v>4646.6927339504764</v>
      </c>
      <c r="K50">
        <v>21</v>
      </c>
      <c r="L50">
        <v>4704.1389418716026</v>
      </c>
      <c r="M50">
        <v>21</v>
      </c>
      <c r="N50">
        <v>4669.749401719183</v>
      </c>
      <c r="O50">
        <v>21</v>
      </c>
      <c r="P50">
        <f t="shared" si="2"/>
        <v>4671.3008306630045</v>
      </c>
    </row>
    <row r="51" spans="3:16" x14ac:dyDescent="0.35">
      <c r="C51">
        <v>22</v>
      </c>
      <c r="D51">
        <v>4697.8081021167654</v>
      </c>
      <c r="E51">
        <v>22</v>
      </c>
      <c r="F51">
        <v>4676.7905101599654</v>
      </c>
      <c r="G51">
        <v>22</v>
      </c>
      <c r="H51">
        <v>4654.402153853327</v>
      </c>
      <c r="I51">
        <v>22</v>
      </c>
      <c r="J51">
        <v>4643.8036801793787</v>
      </c>
      <c r="K51">
        <v>22</v>
      </c>
      <c r="L51">
        <v>4714.7636807727849</v>
      </c>
      <c r="M51">
        <v>22</v>
      </c>
      <c r="N51">
        <v>4673.4143850190312</v>
      </c>
      <c r="O51">
        <v>22</v>
      </c>
      <c r="P51">
        <f t="shared" si="2"/>
        <v>4676.8304186835421</v>
      </c>
    </row>
    <row r="52" spans="3:16" x14ac:dyDescent="0.35">
      <c r="C52">
        <v>23</v>
      </c>
      <c r="D52">
        <v>4689.0171250731164</v>
      </c>
      <c r="E52">
        <v>23</v>
      </c>
      <c r="F52">
        <v>4671.8464391376956</v>
      </c>
      <c r="G52">
        <v>23</v>
      </c>
      <c r="H52">
        <v>4643.7913222790194</v>
      </c>
      <c r="I52">
        <v>23</v>
      </c>
      <c r="J52">
        <v>4654.0805848020154</v>
      </c>
      <c r="K52">
        <v>23</v>
      </c>
      <c r="L52">
        <v>4709.5971997575507</v>
      </c>
      <c r="M52">
        <v>23</v>
      </c>
      <c r="N52">
        <v>4677.065365199257</v>
      </c>
      <c r="O52">
        <v>23</v>
      </c>
      <c r="P52">
        <f t="shared" si="2"/>
        <v>4674.2330060414424</v>
      </c>
    </row>
    <row r="53" spans="3:16" x14ac:dyDescent="0.35">
      <c r="C53">
        <v>24</v>
      </c>
      <c r="D53">
        <v>4686.6007801174947</v>
      </c>
      <c r="E53">
        <v>24</v>
      </c>
      <c r="F53">
        <v>4664.3192070818814</v>
      </c>
      <c r="G53">
        <v>24</v>
      </c>
      <c r="H53">
        <v>4638.1524408077112</v>
      </c>
      <c r="I53">
        <v>24</v>
      </c>
      <c r="J53">
        <v>4652.927795156108</v>
      </c>
      <c r="K53">
        <v>24</v>
      </c>
      <c r="L53">
        <v>4705.000178657715</v>
      </c>
      <c r="M53">
        <v>24</v>
      </c>
      <c r="N53">
        <v>4674.3423211091613</v>
      </c>
      <c r="O53">
        <v>24</v>
      </c>
      <c r="P53">
        <f t="shared" si="2"/>
        <v>4670.2237871550124</v>
      </c>
    </row>
    <row r="54" spans="3:16" x14ac:dyDescent="0.35">
      <c r="C54">
        <v>25</v>
      </c>
      <c r="D54">
        <v>4682.1147677661638</v>
      </c>
      <c r="E54">
        <v>25</v>
      </c>
      <c r="F54">
        <v>4660.5136716597581</v>
      </c>
      <c r="G54">
        <v>25</v>
      </c>
      <c r="H54">
        <v>4632.9442318777919</v>
      </c>
      <c r="I54">
        <v>25</v>
      </c>
      <c r="J54">
        <v>4649.3305093546278</v>
      </c>
      <c r="K54">
        <v>25</v>
      </c>
      <c r="L54">
        <v>4700.29237260836</v>
      </c>
      <c r="M54">
        <v>25</v>
      </c>
      <c r="N54">
        <v>4668.6344101540317</v>
      </c>
      <c r="O54">
        <v>25</v>
      </c>
      <c r="P54">
        <f t="shared" si="2"/>
        <v>4665.6383272367893</v>
      </c>
    </row>
    <row r="55" spans="3:16" x14ac:dyDescent="0.35">
      <c r="C55">
        <v>26</v>
      </c>
      <c r="D55">
        <v>4676.1290321965362</v>
      </c>
      <c r="E55">
        <v>26</v>
      </c>
      <c r="F55">
        <v>4657.0281916787471</v>
      </c>
      <c r="G55">
        <v>26</v>
      </c>
      <c r="H55">
        <v>4627.5967002365151</v>
      </c>
      <c r="I55">
        <v>26</v>
      </c>
      <c r="J55">
        <v>4645.941866941329</v>
      </c>
      <c r="K55">
        <v>26</v>
      </c>
      <c r="L55">
        <v>4697.5562445427804</v>
      </c>
      <c r="M55">
        <v>26</v>
      </c>
      <c r="N55">
        <v>4664.8016202114222</v>
      </c>
      <c r="O55">
        <v>26</v>
      </c>
      <c r="P55">
        <f t="shared" si="2"/>
        <v>4661.5089426345548</v>
      </c>
    </row>
    <row r="56" spans="3:16" x14ac:dyDescent="0.35">
      <c r="C56">
        <v>27</v>
      </c>
      <c r="D56">
        <v>4671.2262196620977</v>
      </c>
      <c r="E56">
        <v>27</v>
      </c>
      <c r="F56">
        <v>4650.9172259522056</v>
      </c>
      <c r="G56">
        <v>27</v>
      </c>
      <c r="H56">
        <v>4621.6798193077493</v>
      </c>
      <c r="I56">
        <v>27</v>
      </c>
      <c r="J56">
        <v>4642.539069453981</v>
      </c>
      <c r="K56">
        <v>27</v>
      </c>
      <c r="L56">
        <v>4693.514566431847</v>
      </c>
      <c r="M56">
        <v>27</v>
      </c>
      <c r="N56">
        <v>4661.8436278748422</v>
      </c>
      <c r="O56">
        <v>27</v>
      </c>
      <c r="P56">
        <f t="shared" si="2"/>
        <v>4656.9534214471205</v>
      </c>
    </row>
    <row r="57" spans="3:16" x14ac:dyDescent="0.35">
      <c r="C57">
        <v>28</v>
      </c>
      <c r="D57">
        <v>4666.9346085213156</v>
      </c>
      <c r="E57">
        <v>28</v>
      </c>
      <c r="F57">
        <v>4647.5702101506404</v>
      </c>
      <c r="G57">
        <v>28</v>
      </c>
      <c r="H57">
        <v>4616.8047273297561</v>
      </c>
      <c r="I57">
        <v>28</v>
      </c>
      <c r="J57">
        <v>4640.5946245856749</v>
      </c>
      <c r="K57">
        <v>28</v>
      </c>
      <c r="L57">
        <v>4688.8619711265401</v>
      </c>
      <c r="M57">
        <v>28</v>
      </c>
      <c r="N57">
        <v>4655.7607983011621</v>
      </c>
      <c r="O57">
        <v>28</v>
      </c>
      <c r="P57">
        <f t="shared" si="2"/>
        <v>4652.7544900025141</v>
      </c>
    </row>
    <row r="58" spans="3:16" x14ac:dyDescent="0.35">
      <c r="C58">
        <v>29</v>
      </c>
      <c r="D58">
        <v>4663.0461568457904</v>
      </c>
      <c r="E58">
        <v>29</v>
      </c>
      <c r="F58">
        <v>4640.9730273475579</v>
      </c>
      <c r="G58">
        <v>29</v>
      </c>
      <c r="H58">
        <v>4611.7074709866656</v>
      </c>
      <c r="I58">
        <v>29</v>
      </c>
      <c r="J58">
        <v>4636.2064195976709</v>
      </c>
      <c r="K58">
        <v>29</v>
      </c>
      <c r="L58">
        <v>4684.5568243856123</v>
      </c>
      <c r="M58">
        <v>29</v>
      </c>
      <c r="N58">
        <v>4651.3441858887954</v>
      </c>
      <c r="O58">
        <v>29</v>
      </c>
      <c r="P58">
        <f t="shared" si="2"/>
        <v>4647.9723475086821</v>
      </c>
    </row>
    <row r="59" spans="3:16" x14ac:dyDescent="0.35">
      <c r="C59">
        <v>30</v>
      </c>
      <c r="D59">
        <v>4658.8102953892321</v>
      </c>
      <c r="E59">
        <v>30</v>
      </c>
      <c r="F59">
        <v>4637.5842342514179</v>
      </c>
      <c r="G59">
        <v>30</v>
      </c>
      <c r="H59">
        <v>4605.5550108932466</v>
      </c>
      <c r="I59">
        <v>30</v>
      </c>
      <c r="J59">
        <v>4632.6648974678501</v>
      </c>
      <c r="K59">
        <v>30</v>
      </c>
      <c r="L59">
        <v>4679.4732149063693</v>
      </c>
      <c r="M59">
        <v>30</v>
      </c>
      <c r="N59">
        <v>4648.0666272475264</v>
      </c>
      <c r="O59">
        <v>30</v>
      </c>
      <c r="P59">
        <f t="shared" si="2"/>
        <v>4643.6923800259401</v>
      </c>
    </row>
    <row r="60" spans="3:16" x14ac:dyDescent="0.35">
      <c r="C60">
        <v>31</v>
      </c>
      <c r="D60">
        <v>4654.1716046556967</v>
      </c>
      <c r="E60">
        <v>31</v>
      </c>
      <c r="F60">
        <v>4632.6120626806714</v>
      </c>
      <c r="G60">
        <v>31</v>
      </c>
      <c r="H60">
        <v>4601.0134766833671</v>
      </c>
      <c r="I60">
        <v>31</v>
      </c>
      <c r="J60">
        <v>4625.7766515771891</v>
      </c>
      <c r="K60">
        <v>31</v>
      </c>
      <c r="L60">
        <v>4676.2929831811671</v>
      </c>
      <c r="M60">
        <v>31</v>
      </c>
      <c r="N60">
        <v>4645.2616044861516</v>
      </c>
      <c r="O60">
        <v>31</v>
      </c>
      <c r="P60">
        <f t="shared" si="2"/>
        <v>4639.1880638773737</v>
      </c>
    </row>
    <row r="61" spans="3:16" x14ac:dyDescent="0.35">
      <c r="C61">
        <v>32</v>
      </c>
      <c r="D61">
        <v>4649.129934598137</v>
      </c>
      <c r="E61">
        <v>32</v>
      </c>
      <c r="F61">
        <v>4627.1398535981634</v>
      </c>
      <c r="G61">
        <v>32</v>
      </c>
      <c r="H61">
        <v>4596.9439256377</v>
      </c>
      <c r="I61">
        <v>32</v>
      </c>
      <c r="J61">
        <v>4623.6658702304958</v>
      </c>
      <c r="K61">
        <v>32</v>
      </c>
      <c r="L61">
        <v>4671.7095116689134</v>
      </c>
      <c r="M61">
        <v>32</v>
      </c>
      <c r="N61">
        <v>4641.0675798767406</v>
      </c>
      <c r="O61">
        <v>32</v>
      </c>
      <c r="P61">
        <f t="shared" si="2"/>
        <v>4634.9427792683582</v>
      </c>
    </row>
    <row r="62" spans="3:16" x14ac:dyDescent="0.35">
      <c r="C62">
        <v>33</v>
      </c>
      <c r="D62">
        <v>4645.6855484346788</v>
      </c>
      <c r="E62">
        <v>33</v>
      </c>
      <c r="F62">
        <v>4620.9179278672127</v>
      </c>
      <c r="G62">
        <v>33</v>
      </c>
      <c r="H62">
        <v>4590.9585353034427</v>
      </c>
      <c r="I62">
        <v>33</v>
      </c>
      <c r="J62">
        <v>4618.1243239405576</v>
      </c>
      <c r="K62">
        <v>33</v>
      </c>
      <c r="L62">
        <v>4668.6821850919359</v>
      </c>
      <c r="M62">
        <v>33</v>
      </c>
      <c r="N62">
        <v>4636.9849603265429</v>
      </c>
      <c r="O62">
        <v>33</v>
      </c>
      <c r="P62">
        <f t="shared" si="2"/>
        <v>4630.2255801607289</v>
      </c>
    </row>
    <row r="63" spans="3:16" x14ac:dyDescent="0.35">
      <c r="C63">
        <v>34</v>
      </c>
      <c r="D63">
        <v>4640.9912595474852</v>
      </c>
      <c r="E63">
        <v>34</v>
      </c>
      <c r="F63">
        <v>4617.8762109729323</v>
      </c>
      <c r="G63">
        <v>34</v>
      </c>
      <c r="H63">
        <v>4584.6667323652327</v>
      </c>
      <c r="I63">
        <v>34</v>
      </c>
      <c r="J63">
        <v>4613.1524541593553</v>
      </c>
      <c r="K63">
        <v>34</v>
      </c>
      <c r="L63">
        <v>4664.2517882725942</v>
      </c>
      <c r="M63">
        <v>34</v>
      </c>
      <c r="N63">
        <v>4632.7770432254183</v>
      </c>
      <c r="O63">
        <v>34</v>
      </c>
      <c r="P63">
        <f t="shared" si="2"/>
        <v>4625.6192480905038</v>
      </c>
    </row>
    <row r="64" spans="3:16" x14ac:dyDescent="0.35">
      <c r="C64">
        <v>35</v>
      </c>
      <c r="D64">
        <v>4637.1306068428239</v>
      </c>
      <c r="E64">
        <v>35</v>
      </c>
      <c r="F64">
        <v>4614.737238583285</v>
      </c>
      <c r="G64">
        <v>35</v>
      </c>
      <c r="H64">
        <v>4581.1258500546783</v>
      </c>
      <c r="I64">
        <v>35</v>
      </c>
      <c r="J64">
        <v>4608.8334857116224</v>
      </c>
      <c r="K64">
        <v>35</v>
      </c>
      <c r="L64">
        <v>4660.8354850673513</v>
      </c>
      <c r="M64">
        <v>35</v>
      </c>
      <c r="N64">
        <v>4627.8890012122447</v>
      </c>
      <c r="O64">
        <v>35</v>
      </c>
      <c r="P64">
        <f t="shared" si="2"/>
        <v>4621.7586112453346</v>
      </c>
    </row>
    <row r="65" spans="3:16" x14ac:dyDescent="0.35">
      <c r="C65">
        <v>36</v>
      </c>
      <c r="D65">
        <v>4632.4365106007817</v>
      </c>
      <c r="E65">
        <v>36</v>
      </c>
      <c r="F65">
        <v>4610.0007260751254</v>
      </c>
      <c r="G65">
        <v>36</v>
      </c>
      <c r="H65">
        <v>4575.1120692505274</v>
      </c>
      <c r="I65">
        <v>36</v>
      </c>
      <c r="J65">
        <v>4604.1116848079482</v>
      </c>
      <c r="K65">
        <v>36</v>
      </c>
      <c r="L65">
        <v>4657.2796982952277</v>
      </c>
      <c r="M65">
        <v>36</v>
      </c>
      <c r="N65">
        <v>4623.7785542924476</v>
      </c>
      <c r="O65">
        <v>36</v>
      </c>
      <c r="P65">
        <f t="shared" si="2"/>
        <v>4617.1198738870089</v>
      </c>
    </row>
    <row r="66" spans="3:16" x14ac:dyDescent="0.35">
      <c r="C66">
        <v>37</v>
      </c>
      <c r="D66">
        <v>4625.4372618956804</v>
      </c>
      <c r="E66">
        <v>37</v>
      </c>
      <c r="F66">
        <v>4604.8751629748313</v>
      </c>
      <c r="G66">
        <v>37</v>
      </c>
      <c r="H66">
        <v>4561.9460195145939</v>
      </c>
      <c r="I66">
        <v>37</v>
      </c>
      <c r="J66">
        <v>4599.6119308596762</v>
      </c>
      <c r="K66">
        <v>37</v>
      </c>
      <c r="L66">
        <v>4647.9331962140668</v>
      </c>
      <c r="M66">
        <v>37</v>
      </c>
      <c r="N66">
        <v>4618.8063952256216</v>
      </c>
      <c r="O66">
        <v>37</v>
      </c>
      <c r="P66">
        <f t="shared" si="2"/>
        <v>4609.7683277807446</v>
      </c>
    </row>
    <row r="67" spans="3:16" x14ac:dyDescent="0.35">
      <c r="C67">
        <v>38</v>
      </c>
      <c r="D67">
        <v>4620.0200999465933</v>
      </c>
      <c r="E67">
        <v>38</v>
      </c>
      <c r="F67">
        <v>4594.9863792036494</v>
      </c>
      <c r="G67">
        <v>38</v>
      </c>
      <c r="H67">
        <v>4560.1262826055627</v>
      </c>
      <c r="I67">
        <v>38</v>
      </c>
      <c r="J67">
        <v>4593.4876571467321</v>
      </c>
      <c r="K67">
        <v>38</v>
      </c>
      <c r="L67">
        <v>4646.5163377499721</v>
      </c>
      <c r="M67">
        <v>38</v>
      </c>
      <c r="N67">
        <v>4614.0710051032947</v>
      </c>
      <c r="O67">
        <v>38</v>
      </c>
      <c r="P67">
        <f t="shared" si="2"/>
        <v>4604.8679602926341</v>
      </c>
    </row>
    <row r="68" spans="3:16" x14ac:dyDescent="0.35">
      <c r="C68">
        <v>39</v>
      </c>
      <c r="D68">
        <v>4633.6449821130354</v>
      </c>
      <c r="E68">
        <v>39</v>
      </c>
      <c r="F68">
        <v>4592.4820666225851</v>
      </c>
      <c r="G68">
        <v>39</v>
      </c>
      <c r="H68">
        <v>4548.681492925748</v>
      </c>
      <c r="I68">
        <v>39</v>
      </c>
      <c r="J68">
        <v>4577.6269779507138</v>
      </c>
      <c r="K68">
        <v>39</v>
      </c>
      <c r="L68">
        <v>4623.346154514551</v>
      </c>
      <c r="M68">
        <v>39</v>
      </c>
      <c r="N68">
        <v>4600.681501614913</v>
      </c>
      <c r="O68">
        <v>39</v>
      </c>
      <c r="P68">
        <f t="shared" si="2"/>
        <v>4596.0771959569238</v>
      </c>
    </row>
    <row r="69" spans="3:16" x14ac:dyDescent="0.35">
      <c r="C69">
        <v>40</v>
      </c>
      <c r="D69">
        <v>4628.0755016403446</v>
      </c>
      <c r="E69">
        <v>40</v>
      </c>
      <c r="F69">
        <v>4590.4136082924306</v>
      </c>
      <c r="G69">
        <v>40</v>
      </c>
      <c r="H69">
        <v>4543.4599064961048</v>
      </c>
      <c r="I69">
        <v>40</v>
      </c>
      <c r="J69">
        <v>4571.347022795283</v>
      </c>
      <c r="K69">
        <v>40</v>
      </c>
      <c r="L69">
        <v>4621.1254062714579</v>
      </c>
      <c r="M69">
        <v>40</v>
      </c>
      <c r="N69">
        <v>4581.1931260225674</v>
      </c>
      <c r="O69">
        <v>40</v>
      </c>
      <c r="P69">
        <f t="shared" si="2"/>
        <v>4589.2690952530311</v>
      </c>
    </row>
    <row r="70" spans="3:16" x14ac:dyDescent="0.35">
      <c r="C70">
        <v>41</v>
      </c>
      <c r="D70">
        <v>4622.5206882666598</v>
      </c>
      <c r="E70">
        <v>41</v>
      </c>
      <c r="F70">
        <v>4584.3032130837637</v>
      </c>
      <c r="G70">
        <v>41</v>
      </c>
      <c r="H70">
        <v>4538.5708179683461</v>
      </c>
      <c r="I70">
        <v>41</v>
      </c>
      <c r="J70">
        <v>4566.5132111339999</v>
      </c>
      <c r="K70">
        <v>41</v>
      </c>
      <c r="L70">
        <v>4616.6681205123641</v>
      </c>
      <c r="M70">
        <v>41</v>
      </c>
      <c r="N70">
        <v>4577.2067669523494</v>
      </c>
      <c r="O70">
        <v>41</v>
      </c>
      <c r="P70">
        <f t="shared" si="2"/>
        <v>4584.2971363195802</v>
      </c>
    </row>
    <row r="71" spans="3:16" x14ac:dyDescent="0.35">
      <c r="C71">
        <v>42</v>
      </c>
      <c r="D71">
        <v>4619.1734516331389</v>
      </c>
      <c r="E71">
        <v>42</v>
      </c>
      <c r="F71">
        <v>4581.6238081008451</v>
      </c>
      <c r="G71">
        <v>42</v>
      </c>
      <c r="H71">
        <v>4532.6400150894769</v>
      </c>
      <c r="I71">
        <v>42</v>
      </c>
      <c r="J71">
        <v>4560.6780763883589</v>
      </c>
      <c r="K71">
        <v>42</v>
      </c>
      <c r="L71">
        <v>4612.7804464111632</v>
      </c>
      <c r="M71">
        <v>42</v>
      </c>
      <c r="N71">
        <v>4571.6083869518407</v>
      </c>
      <c r="O71">
        <v>42</v>
      </c>
      <c r="P71">
        <f t="shared" si="2"/>
        <v>4579.7506974291364</v>
      </c>
    </row>
    <row r="72" spans="3:16" x14ac:dyDescent="0.35">
      <c r="C72">
        <v>43</v>
      </c>
      <c r="D72">
        <v>4618.4368852945418</v>
      </c>
      <c r="E72">
        <v>43</v>
      </c>
      <c r="F72">
        <v>4581.4575782236807</v>
      </c>
      <c r="G72">
        <v>43</v>
      </c>
      <c r="H72">
        <v>4532.9015572679573</v>
      </c>
      <c r="I72">
        <v>43</v>
      </c>
      <c r="J72">
        <v>4563.9430704966808</v>
      </c>
      <c r="K72">
        <v>43</v>
      </c>
      <c r="L72">
        <v>4609.1695828352958</v>
      </c>
      <c r="M72">
        <v>43</v>
      </c>
      <c r="N72">
        <v>4576.4852012919309</v>
      </c>
      <c r="O72">
        <v>43</v>
      </c>
      <c r="P72">
        <f t="shared" si="2"/>
        <v>4580.3989792350148</v>
      </c>
    </row>
    <row r="73" spans="3:16" x14ac:dyDescent="0.35">
      <c r="C73">
        <v>44</v>
      </c>
      <c r="D73">
        <v>4615.1442219170422</v>
      </c>
      <c r="E73">
        <v>44</v>
      </c>
      <c r="F73">
        <v>4575.6247961225126</v>
      </c>
      <c r="G73">
        <v>44</v>
      </c>
      <c r="H73">
        <v>4529.8574788281076</v>
      </c>
      <c r="I73">
        <v>44</v>
      </c>
      <c r="J73">
        <v>4553.472026398108</v>
      </c>
      <c r="K73">
        <v>44</v>
      </c>
      <c r="L73">
        <v>4605.9188177648921</v>
      </c>
      <c r="M73">
        <v>44</v>
      </c>
      <c r="N73">
        <v>4567.3748389325456</v>
      </c>
      <c r="O73">
        <v>44</v>
      </c>
      <c r="P73">
        <f t="shared" si="2"/>
        <v>4574.5653633272004</v>
      </c>
    </row>
    <row r="74" spans="3:16" x14ac:dyDescent="0.35">
      <c r="C74">
        <v>45</v>
      </c>
      <c r="D74">
        <v>4610.7546489153383</v>
      </c>
      <c r="E74">
        <v>45</v>
      </c>
      <c r="F74">
        <v>4573.0411696888004</v>
      </c>
      <c r="G74">
        <v>45</v>
      </c>
      <c r="H74">
        <v>4526.2748499529516</v>
      </c>
      <c r="I74">
        <v>45</v>
      </c>
      <c r="J74">
        <v>4549.9868583793223</v>
      </c>
      <c r="K74">
        <v>45</v>
      </c>
      <c r="L74">
        <v>4605.0559997626378</v>
      </c>
      <c r="M74">
        <v>45</v>
      </c>
      <c r="N74">
        <v>4565.6669029695749</v>
      </c>
      <c r="O74">
        <v>45</v>
      </c>
      <c r="P74">
        <f t="shared" si="2"/>
        <v>4571.7967382781035</v>
      </c>
    </row>
    <row r="75" spans="3:16" x14ac:dyDescent="0.35">
      <c r="C75">
        <v>46</v>
      </c>
      <c r="D75">
        <v>4606.4629907259059</v>
      </c>
      <c r="E75">
        <v>46</v>
      </c>
      <c r="F75">
        <v>4569.1804387816519</v>
      </c>
      <c r="G75">
        <v>46</v>
      </c>
      <c r="H75">
        <v>4517.9561932555134</v>
      </c>
      <c r="I75">
        <v>46</v>
      </c>
      <c r="J75">
        <v>4545.7782224087214</v>
      </c>
      <c r="K75">
        <v>46</v>
      </c>
      <c r="L75">
        <v>4601.9992614209541</v>
      </c>
      <c r="M75">
        <v>46</v>
      </c>
      <c r="N75">
        <v>4561.3893875622016</v>
      </c>
      <c r="O75">
        <v>46</v>
      </c>
      <c r="P75">
        <f t="shared" si="2"/>
        <v>4567.1277490258244</v>
      </c>
    </row>
    <row r="76" spans="3:16" x14ac:dyDescent="0.35">
      <c r="C76">
        <v>47</v>
      </c>
      <c r="D76">
        <v>4603.2693514067969</v>
      </c>
      <c r="E76">
        <v>47</v>
      </c>
      <c r="F76">
        <v>4564.9304695116261</v>
      </c>
      <c r="G76">
        <v>47</v>
      </c>
      <c r="H76">
        <v>4516.401992997804</v>
      </c>
      <c r="I76">
        <v>47</v>
      </c>
      <c r="J76">
        <v>4540.5285146613769</v>
      </c>
      <c r="K76">
        <v>47</v>
      </c>
      <c r="L76">
        <v>4597.5688321761909</v>
      </c>
      <c r="M76">
        <v>47</v>
      </c>
      <c r="N76">
        <v>4558.2646043674713</v>
      </c>
      <c r="O76">
        <v>47</v>
      </c>
      <c r="P76">
        <f t="shared" si="2"/>
        <v>4563.4939608535451</v>
      </c>
    </row>
    <row r="77" spans="3:16" x14ac:dyDescent="0.35">
      <c r="C77">
        <v>48</v>
      </c>
      <c r="D77">
        <v>4593.894898188415</v>
      </c>
      <c r="E77">
        <v>48</v>
      </c>
      <c r="F77">
        <v>4563.0691759280453</v>
      </c>
      <c r="G77">
        <v>48</v>
      </c>
      <c r="H77">
        <v>4518.8457442164072</v>
      </c>
      <c r="I77">
        <v>48</v>
      </c>
      <c r="J77">
        <v>4535.3065637106547</v>
      </c>
      <c r="K77">
        <v>48</v>
      </c>
      <c r="L77">
        <v>4592.9306926748213</v>
      </c>
      <c r="M77">
        <v>48</v>
      </c>
      <c r="N77">
        <v>4552.7369378533949</v>
      </c>
      <c r="O77">
        <v>48</v>
      </c>
      <c r="P77">
        <f t="shared" si="2"/>
        <v>4559.4640020952893</v>
      </c>
    </row>
    <row r="78" spans="3:16" x14ac:dyDescent="0.35">
      <c r="C78">
        <v>49</v>
      </c>
      <c r="D78">
        <v>4586.5475880148861</v>
      </c>
      <c r="E78">
        <v>49</v>
      </c>
      <c r="F78">
        <v>4552.1106223985489</v>
      </c>
      <c r="G78">
        <v>49</v>
      </c>
      <c r="H78">
        <v>4512.4578643303412</v>
      </c>
      <c r="I78">
        <v>49</v>
      </c>
      <c r="J78">
        <v>4527.752024999364</v>
      </c>
      <c r="K78">
        <v>49</v>
      </c>
      <c r="L78">
        <v>4586.7921053635464</v>
      </c>
      <c r="M78">
        <v>49</v>
      </c>
      <c r="N78">
        <v>4549.3906701677643</v>
      </c>
      <c r="O78">
        <v>49</v>
      </c>
      <c r="P78">
        <f t="shared" si="2"/>
        <v>4552.508479212408</v>
      </c>
    </row>
    <row r="79" spans="3:16" x14ac:dyDescent="0.35">
      <c r="C79">
        <v>50</v>
      </c>
      <c r="D79">
        <v>4582.38120258047</v>
      </c>
      <c r="E79">
        <v>50</v>
      </c>
      <c r="F79">
        <v>4544.7082341496907</v>
      </c>
      <c r="G79">
        <v>50</v>
      </c>
      <c r="H79">
        <v>4514.5139357256076</v>
      </c>
      <c r="I79">
        <v>50</v>
      </c>
      <c r="J79">
        <v>4523.0726496867665</v>
      </c>
      <c r="K79">
        <v>50</v>
      </c>
      <c r="L79">
        <v>4585.3058073294169</v>
      </c>
      <c r="M79">
        <v>50</v>
      </c>
      <c r="N79">
        <v>4546.2390870442423</v>
      </c>
      <c r="O79">
        <v>50</v>
      </c>
      <c r="P79">
        <f t="shared" si="2"/>
        <v>4549.3701527526991</v>
      </c>
    </row>
    <row r="80" spans="3:16" x14ac:dyDescent="0.35">
      <c r="C80">
        <v>51</v>
      </c>
      <c r="D80">
        <v>4580.5205755194429</v>
      </c>
      <c r="E80">
        <v>51</v>
      </c>
      <c r="F80">
        <v>4541.4033660978439</v>
      </c>
      <c r="G80">
        <v>51</v>
      </c>
      <c r="H80">
        <v>4513.2789147868398</v>
      </c>
      <c r="I80">
        <v>51</v>
      </c>
      <c r="J80">
        <v>4518.3093842984663</v>
      </c>
      <c r="K80">
        <v>51</v>
      </c>
      <c r="L80">
        <v>4582.054992667192</v>
      </c>
      <c r="M80">
        <v>51</v>
      </c>
      <c r="N80">
        <v>4541.240425811483</v>
      </c>
      <c r="O80">
        <v>51</v>
      </c>
      <c r="P80">
        <f t="shared" si="2"/>
        <v>4546.1346098635449</v>
      </c>
    </row>
    <row r="81" spans="3:16" x14ac:dyDescent="0.35">
      <c r="C81">
        <v>52</v>
      </c>
      <c r="D81">
        <v>4577.021108949416</v>
      </c>
      <c r="E81">
        <v>52</v>
      </c>
      <c r="F81">
        <v>4537.6249126844859</v>
      </c>
      <c r="G81">
        <v>52</v>
      </c>
      <c r="H81">
        <v>4513.8630649017068</v>
      </c>
      <c r="I81">
        <v>52</v>
      </c>
      <c r="J81">
        <v>4511.3374466993891</v>
      </c>
      <c r="K81">
        <v>52</v>
      </c>
      <c r="L81">
        <v>4576.1395064554144</v>
      </c>
      <c r="M81">
        <v>52</v>
      </c>
      <c r="N81">
        <v>4537.7686427100016</v>
      </c>
      <c r="O81">
        <v>52</v>
      </c>
      <c r="P81">
        <f t="shared" si="2"/>
        <v>4542.2924470667358</v>
      </c>
    </row>
    <row r="82" spans="3:16" x14ac:dyDescent="0.35">
      <c r="C82">
        <v>53</v>
      </c>
      <c r="D82">
        <v>4569.9660389274604</v>
      </c>
      <c r="E82">
        <v>53</v>
      </c>
      <c r="F82">
        <v>4536.7077935454336</v>
      </c>
      <c r="G82">
        <v>53</v>
      </c>
      <c r="H82">
        <v>4512.4186189737457</v>
      </c>
      <c r="I82">
        <v>53</v>
      </c>
      <c r="J82">
        <v>4503.8657691394756</v>
      </c>
      <c r="K82">
        <v>53</v>
      </c>
      <c r="L82">
        <v>4573.4317764892376</v>
      </c>
      <c r="M82">
        <v>53</v>
      </c>
      <c r="N82">
        <v>4532.6444550409879</v>
      </c>
      <c r="O82">
        <v>53</v>
      </c>
      <c r="P82">
        <f t="shared" si="2"/>
        <v>4538.1724086860568</v>
      </c>
    </row>
    <row r="83" spans="3:16" x14ac:dyDescent="0.35">
      <c r="C83">
        <v>54</v>
      </c>
      <c r="D83">
        <v>4563.5771672049714</v>
      </c>
      <c r="E83">
        <v>54</v>
      </c>
      <c r="F83">
        <v>4529.5412642099654</v>
      </c>
      <c r="G83">
        <v>54</v>
      </c>
      <c r="H83">
        <v>4515.7911342963471</v>
      </c>
      <c r="I83">
        <v>54</v>
      </c>
      <c r="J83">
        <v>4497.3936418622789</v>
      </c>
      <c r="K83">
        <v>54</v>
      </c>
      <c r="L83">
        <v>4574.2365631596349</v>
      </c>
      <c r="M83">
        <v>54</v>
      </c>
      <c r="N83">
        <v>4526.8395708823946</v>
      </c>
      <c r="O83">
        <v>54</v>
      </c>
      <c r="P83">
        <f t="shared" si="2"/>
        <v>4534.5632236025986</v>
      </c>
    </row>
    <row r="84" spans="3:16" x14ac:dyDescent="0.35">
      <c r="C84">
        <v>55</v>
      </c>
      <c r="D84">
        <v>4561.9666039351323</v>
      </c>
      <c r="E84">
        <v>55</v>
      </c>
      <c r="F84">
        <v>4523.9169307325183</v>
      </c>
      <c r="G84">
        <v>55</v>
      </c>
      <c r="H84">
        <v>4511.6803139543754</v>
      </c>
      <c r="I84">
        <v>55</v>
      </c>
      <c r="J84">
        <v>4493.4895547756496</v>
      </c>
      <c r="K84">
        <v>55</v>
      </c>
      <c r="L84">
        <v>4570.4598961114934</v>
      </c>
      <c r="M84">
        <v>55</v>
      </c>
      <c r="N84">
        <v>4531.0465493417423</v>
      </c>
      <c r="O84">
        <v>55</v>
      </c>
      <c r="P84">
        <f t="shared" si="2"/>
        <v>4532.0933081418179</v>
      </c>
    </row>
    <row r="85" spans="3:16" x14ac:dyDescent="0.35">
      <c r="C85">
        <v>56</v>
      </c>
      <c r="D85">
        <v>4557.590576706255</v>
      </c>
      <c r="E85">
        <v>56</v>
      </c>
      <c r="F85">
        <v>4519.764965073794</v>
      </c>
      <c r="G85">
        <v>56</v>
      </c>
      <c r="H85">
        <v>4509.9693664538881</v>
      </c>
      <c r="I85">
        <v>56</v>
      </c>
      <c r="J85">
        <v>4492.8373318328631</v>
      </c>
      <c r="K85">
        <v>56</v>
      </c>
      <c r="L85">
        <v>4567.2090736078262</v>
      </c>
      <c r="M85">
        <v>56</v>
      </c>
      <c r="N85">
        <v>4527.3663424124516</v>
      </c>
      <c r="O85">
        <v>56</v>
      </c>
      <c r="P85">
        <f t="shared" si="2"/>
        <v>4529.1229426811797</v>
      </c>
    </row>
    <row r="86" spans="3:16" x14ac:dyDescent="0.35">
      <c r="C86">
        <v>57</v>
      </c>
      <c r="D86">
        <v>4552.9100321711048</v>
      </c>
      <c r="E86">
        <v>57</v>
      </c>
      <c r="F86">
        <v>4515.5846280189553</v>
      </c>
      <c r="G86">
        <v>57</v>
      </c>
      <c r="H86">
        <v>4506.8727164449874</v>
      </c>
      <c r="I86">
        <v>57</v>
      </c>
      <c r="J86">
        <v>4494.0167876791866</v>
      </c>
      <c r="K86">
        <v>57</v>
      </c>
      <c r="L86">
        <v>4565.6676180242957</v>
      </c>
      <c r="M86">
        <v>57</v>
      </c>
      <c r="N86">
        <v>4523.8511329823759</v>
      </c>
      <c r="O86">
        <v>57</v>
      </c>
      <c r="P86">
        <f t="shared" si="2"/>
        <v>4526.4838192201505</v>
      </c>
    </row>
    <row r="87" spans="3:16" x14ac:dyDescent="0.35">
      <c r="C87">
        <v>58</v>
      </c>
      <c r="D87">
        <v>4559.2290917491082</v>
      </c>
      <c r="E87">
        <v>58</v>
      </c>
      <c r="F87">
        <v>4510.5013665301831</v>
      </c>
      <c r="G87">
        <v>58</v>
      </c>
      <c r="H87">
        <v>4534.9833577053823</v>
      </c>
      <c r="I87">
        <v>58</v>
      </c>
      <c r="J87">
        <v>4495.7957338317947</v>
      </c>
      <c r="K87">
        <v>58</v>
      </c>
      <c r="L87">
        <v>4562.6947398760631</v>
      </c>
      <c r="M87">
        <v>58</v>
      </c>
      <c r="N87">
        <v>4520.6988218763508</v>
      </c>
      <c r="O87">
        <v>58</v>
      </c>
      <c r="P87">
        <f t="shared" si="2"/>
        <v>4530.6505185948135</v>
      </c>
    </row>
    <row r="88" spans="3:16" x14ac:dyDescent="0.35">
      <c r="C88">
        <v>59</v>
      </c>
      <c r="D88">
        <v>4550.2985559031222</v>
      </c>
      <c r="E88">
        <v>59</v>
      </c>
      <c r="F88">
        <v>4519.8625092189923</v>
      </c>
      <c r="G88">
        <v>59</v>
      </c>
      <c r="H88">
        <v>4528.1078732314372</v>
      </c>
      <c r="I88">
        <v>59</v>
      </c>
      <c r="J88">
        <v>4524.1424539898107</v>
      </c>
      <c r="K88">
        <v>59</v>
      </c>
      <c r="L88">
        <v>4574.345469977874</v>
      </c>
      <c r="M88">
        <v>59</v>
      </c>
      <c r="N88">
        <v>4533.3093707348917</v>
      </c>
      <c r="O88">
        <v>59</v>
      </c>
      <c r="P88">
        <f t="shared" si="2"/>
        <v>4538.3443721760214</v>
      </c>
    </row>
    <row r="89" spans="3:16" x14ac:dyDescent="0.35">
      <c r="C89">
        <v>60</v>
      </c>
      <c r="D89">
        <v>4550.5497149529938</v>
      </c>
      <c r="E89">
        <v>60</v>
      </c>
      <c r="F89">
        <v>4515.4177640446578</v>
      </c>
      <c r="G89">
        <v>60</v>
      </c>
      <c r="H89">
        <v>4524.9977759975582</v>
      </c>
      <c r="I89">
        <v>60</v>
      </c>
      <c r="J89">
        <v>4529.4612073277212</v>
      </c>
      <c r="K89">
        <v>60</v>
      </c>
      <c r="L89">
        <v>4572.4993608165269</v>
      </c>
      <c r="M89">
        <v>60</v>
      </c>
      <c r="N89">
        <v>4524.7816989225439</v>
      </c>
      <c r="O89">
        <v>60</v>
      </c>
      <c r="P89">
        <f t="shared" si="2"/>
        <v>4536.2845870103338</v>
      </c>
    </row>
    <row r="90" spans="3:16" x14ac:dyDescent="0.35">
      <c r="C90">
        <v>61</v>
      </c>
      <c r="D90">
        <v>4548.341909539432</v>
      </c>
      <c r="E90">
        <v>61</v>
      </c>
      <c r="F90">
        <v>4513.0009541127301</v>
      </c>
      <c r="G90">
        <v>61</v>
      </c>
      <c r="H90">
        <v>4504.7068936870037</v>
      </c>
      <c r="I90">
        <v>61</v>
      </c>
      <c r="J90">
        <v>4526.5043282639472</v>
      </c>
      <c r="K90">
        <v>61</v>
      </c>
      <c r="L90">
        <v>4568.3893716673874</v>
      </c>
      <c r="M90">
        <v>61</v>
      </c>
      <c r="N90">
        <v>4523.2557723608252</v>
      </c>
      <c r="O90">
        <v>61</v>
      </c>
      <c r="P90">
        <f t="shared" si="2"/>
        <v>4530.6998716052212</v>
      </c>
    </row>
    <row r="91" spans="3:16" x14ac:dyDescent="0.35">
      <c r="C91">
        <v>62</v>
      </c>
      <c r="D91">
        <v>4542.9531781151718</v>
      </c>
      <c r="E91">
        <v>62</v>
      </c>
      <c r="F91">
        <v>4509.6955678899312</v>
      </c>
      <c r="G91">
        <v>62</v>
      </c>
      <c r="H91">
        <v>4487.7221012097016</v>
      </c>
      <c r="I91">
        <v>62</v>
      </c>
      <c r="J91">
        <v>4522.1433619016134</v>
      </c>
      <c r="K91">
        <v>62</v>
      </c>
      <c r="L91">
        <v>4567.320442214932</v>
      </c>
      <c r="M91">
        <v>62</v>
      </c>
      <c r="N91">
        <v>4519.6726628264796</v>
      </c>
      <c r="O91">
        <v>62</v>
      </c>
      <c r="P91">
        <f t="shared" si="2"/>
        <v>4524.9178856929711</v>
      </c>
    </row>
    <row r="92" spans="3:16" x14ac:dyDescent="0.35">
      <c r="C92">
        <v>63</v>
      </c>
      <c r="D92">
        <v>4538.6476689724741</v>
      </c>
      <c r="E92">
        <v>63</v>
      </c>
      <c r="F92">
        <v>4503.7510388850742</v>
      </c>
      <c r="G92">
        <v>63</v>
      </c>
      <c r="H92">
        <v>4471.5976509583516</v>
      </c>
      <c r="I92">
        <v>63</v>
      </c>
      <c r="J92">
        <v>4514.8662667531344</v>
      </c>
      <c r="K92">
        <v>63</v>
      </c>
      <c r="L92">
        <v>4562.4592011902041</v>
      </c>
      <c r="M92">
        <v>63</v>
      </c>
      <c r="N92">
        <v>4515.8113942507398</v>
      </c>
      <c r="O92">
        <v>63</v>
      </c>
      <c r="P92">
        <f t="shared" si="2"/>
        <v>4517.8555368349962</v>
      </c>
    </row>
    <row r="93" spans="3:16" x14ac:dyDescent="0.35">
      <c r="C93">
        <v>64</v>
      </c>
      <c r="D93">
        <v>4535.0371129082851</v>
      </c>
      <c r="E93">
        <v>64</v>
      </c>
      <c r="F93">
        <v>4499.6677405203327</v>
      </c>
      <c r="G93">
        <v>64</v>
      </c>
      <c r="H93">
        <v>4463.0695251901016</v>
      </c>
      <c r="I93">
        <v>64</v>
      </c>
      <c r="J93">
        <v>4507.658447775998</v>
      </c>
      <c r="K93">
        <v>64</v>
      </c>
      <c r="L93">
        <v>4561.9449579529173</v>
      </c>
      <c r="M93">
        <v>64</v>
      </c>
      <c r="N93">
        <v>4512.7413496181007</v>
      </c>
      <c r="O93">
        <v>64</v>
      </c>
      <c r="P93">
        <f t="shared" si="2"/>
        <v>4513.3531889942888</v>
      </c>
    </row>
    <row r="94" spans="3:16" x14ac:dyDescent="0.35">
      <c r="C94">
        <v>65</v>
      </c>
      <c r="D94">
        <v>4530.6076716851894</v>
      </c>
      <c r="E94">
        <v>65</v>
      </c>
      <c r="F94">
        <v>4494.7372739757384</v>
      </c>
      <c r="G94">
        <v>65</v>
      </c>
      <c r="H94">
        <v>4460.123773344184</v>
      </c>
      <c r="I94">
        <v>65</v>
      </c>
      <c r="J94">
        <v>4501.9647245322694</v>
      </c>
      <c r="K94">
        <v>65</v>
      </c>
      <c r="L94">
        <v>4557.3635203411241</v>
      </c>
      <c r="M94">
        <v>65</v>
      </c>
      <c r="N94">
        <v>4510.1584655781899</v>
      </c>
      <c r="O94">
        <v>65</v>
      </c>
      <c r="P94">
        <f t="shared" si="2"/>
        <v>4509.1592382427834</v>
      </c>
    </row>
    <row r="95" spans="3:16" x14ac:dyDescent="0.35">
      <c r="C95">
        <v>66</v>
      </c>
      <c r="D95">
        <v>4525.371738172139</v>
      </c>
      <c r="E95">
        <v>66</v>
      </c>
      <c r="F95">
        <v>4491.6256563498728</v>
      </c>
      <c r="G95">
        <v>66</v>
      </c>
      <c r="H95">
        <v>4467.8309652179078</v>
      </c>
      <c r="I95">
        <v>66</v>
      </c>
      <c r="J95">
        <v>4489.6878076176426</v>
      </c>
      <c r="K95">
        <v>66</v>
      </c>
      <c r="L95">
        <v>4553.8236226613426</v>
      </c>
      <c r="M95">
        <v>66</v>
      </c>
      <c r="N95">
        <v>4505.6735152123974</v>
      </c>
      <c r="O95">
        <v>66</v>
      </c>
      <c r="P95">
        <f t="shared" si="2"/>
        <v>4505.6688842052181</v>
      </c>
    </row>
    <row r="96" spans="3:16" x14ac:dyDescent="0.35">
      <c r="C96">
        <v>67</v>
      </c>
      <c r="D96">
        <v>4521.620612607343</v>
      </c>
      <c r="E96">
        <v>67</v>
      </c>
      <c r="F96">
        <v>4489.098190746251</v>
      </c>
      <c r="G96">
        <v>67</v>
      </c>
      <c r="H96">
        <v>4467.2325282079973</v>
      </c>
      <c r="I96">
        <v>67</v>
      </c>
      <c r="J96">
        <v>4469.2439599704994</v>
      </c>
      <c r="K96">
        <v>67</v>
      </c>
      <c r="L96">
        <v>4549.7244985715861</v>
      </c>
      <c r="M96">
        <v>67</v>
      </c>
      <c r="N96">
        <v>4502.0492457380706</v>
      </c>
      <c r="O96">
        <v>67</v>
      </c>
      <c r="P96">
        <f t="shared" si="2"/>
        <v>4499.8281726402911</v>
      </c>
    </row>
    <row r="97" spans="3:16" x14ac:dyDescent="0.35">
      <c r="C97">
        <v>68</v>
      </c>
      <c r="D97">
        <v>4519.0376654120364</v>
      </c>
      <c r="E97">
        <v>68</v>
      </c>
      <c r="F97">
        <v>4482.4736184227258</v>
      </c>
      <c r="G97">
        <v>68</v>
      </c>
      <c r="H97">
        <v>4467.3854316607749</v>
      </c>
      <c r="I97">
        <v>68</v>
      </c>
      <c r="J97">
        <v>4453.8680679535109</v>
      </c>
      <c r="K97">
        <v>68</v>
      </c>
      <c r="L97">
        <v>4545.7524049913955</v>
      </c>
      <c r="M97">
        <v>68</v>
      </c>
      <c r="N97">
        <v>4498.4089568339223</v>
      </c>
      <c r="O97">
        <v>68</v>
      </c>
      <c r="P97">
        <f t="shared" si="2"/>
        <v>4494.4876908790611</v>
      </c>
    </row>
    <row r="98" spans="3:16" x14ac:dyDescent="0.35">
      <c r="C98">
        <v>69</v>
      </c>
      <c r="D98">
        <v>4512.8152301992995</v>
      </c>
      <c r="E98">
        <v>69</v>
      </c>
      <c r="F98">
        <v>4478.7377982926846</v>
      </c>
      <c r="G98">
        <v>69</v>
      </c>
      <c r="H98">
        <v>4461.3441201902288</v>
      </c>
      <c r="I98">
        <v>69</v>
      </c>
      <c r="J98">
        <v>4450.4513745835557</v>
      </c>
      <c r="K98">
        <v>69</v>
      </c>
      <c r="L98">
        <v>4542.2660643591626</v>
      </c>
      <c r="M98">
        <v>69</v>
      </c>
      <c r="N98">
        <v>4493.7839718810137</v>
      </c>
      <c r="O98">
        <v>69</v>
      </c>
      <c r="P98">
        <f t="shared" si="2"/>
        <v>4489.8997599176573</v>
      </c>
    </row>
    <row r="99" spans="3:16" x14ac:dyDescent="0.35">
      <c r="C99">
        <v>70</v>
      </c>
      <c r="D99">
        <v>4507.9262531471732</v>
      </c>
      <c r="E99">
        <v>70</v>
      </c>
      <c r="F99">
        <v>4476.0012690419881</v>
      </c>
      <c r="G99">
        <v>70</v>
      </c>
      <c r="H99">
        <v>4451.9559645821146</v>
      </c>
      <c r="I99">
        <v>70</v>
      </c>
      <c r="J99">
        <v>4448.1867977670963</v>
      </c>
      <c r="K99">
        <v>70</v>
      </c>
      <c r="L99">
        <v>4538.446877622644</v>
      </c>
      <c r="M99">
        <v>70</v>
      </c>
      <c r="N99">
        <v>4491.1036382170678</v>
      </c>
      <c r="O99">
        <v>70</v>
      </c>
      <c r="P99">
        <f t="shared" ref="P99:P129" si="3">AVERAGE(D99,F99,H99,J99,L99,N99)</f>
        <v>4485.6034667296799</v>
      </c>
    </row>
    <row r="100" spans="3:16" x14ac:dyDescent="0.35">
      <c r="C100">
        <v>71</v>
      </c>
      <c r="D100">
        <v>4503.0929111246751</v>
      </c>
      <c r="E100">
        <v>71</v>
      </c>
      <c r="F100">
        <v>4472.0983925044293</v>
      </c>
      <c r="G100">
        <v>71</v>
      </c>
      <c r="H100">
        <v>4439.6641584649424</v>
      </c>
      <c r="I100">
        <v>71</v>
      </c>
      <c r="J100">
        <v>4445.1174389427197</v>
      </c>
      <c r="K100">
        <v>71</v>
      </c>
      <c r="L100">
        <v>4532.1260441833456</v>
      </c>
      <c r="M100">
        <v>71</v>
      </c>
      <c r="N100">
        <v>4486.1595985605654</v>
      </c>
      <c r="O100">
        <v>71</v>
      </c>
      <c r="P100">
        <f t="shared" si="3"/>
        <v>4479.7097572967796</v>
      </c>
    </row>
    <row r="101" spans="3:16" x14ac:dyDescent="0.35">
      <c r="C101">
        <v>72</v>
      </c>
      <c r="D101">
        <v>4500.2741459186354</v>
      </c>
      <c r="E101">
        <v>72</v>
      </c>
      <c r="F101">
        <v>4466.515117240152</v>
      </c>
      <c r="G101">
        <v>72</v>
      </c>
      <c r="H101">
        <v>4433.2902070988357</v>
      </c>
      <c r="I101">
        <v>72</v>
      </c>
      <c r="J101">
        <v>4440.3947623407339</v>
      </c>
      <c r="K101">
        <v>72</v>
      </c>
      <c r="L101">
        <v>4532.7237572374388</v>
      </c>
      <c r="M101">
        <v>72</v>
      </c>
      <c r="N101">
        <v>4479.992274696303</v>
      </c>
      <c r="O101">
        <v>72</v>
      </c>
      <c r="P101">
        <f t="shared" si="3"/>
        <v>4475.5317107553501</v>
      </c>
    </row>
    <row r="102" spans="3:16" x14ac:dyDescent="0.35">
      <c r="C102">
        <v>73</v>
      </c>
      <c r="D102">
        <v>4496.3301677220816</v>
      </c>
      <c r="E102">
        <v>73</v>
      </c>
      <c r="F102">
        <v>4462.9461661707483</v>
      </c>
      <c r="G102">
        <v>73</v>
      </c>
      <c r="H102">
        <v>4424.2626738892704</v>
      </c>
      <c r="I102">
        <v>73</v>
      </c>
      <c r="J102">
        <v>4440.1034046692603</v>
      </c>
      <c r="K102">
        <v>73</v>
      </c>
      <c r="L102">
        <v>4525.2251852275713</v>
      </c>
      <c r="M102">
        <v>73</v>
      </c>
      <c r="N102">
        <v>4478.7425347354683</v>
      </c>
      <c r="O102">
        <v>73</v>
      </c>
      <c r="P102">
        <f t="shared" si="3"/>
        <v>4471.2683554023997</v>
      </c>
    </row>
    <row r="103" spans="3:16" x14ac:dyDescent="0.35">
      <c r="C103">
        <v>74</v>
      </c>
      <c r="D103">
        <v>4483.1501430533299</v>
      </c>
      <c r="E103">
        <v>74</v>
      </c>
      <c r="F103">
        <v>4458.1682572077689</v>
      </c>
      <c r="G103">
        <v>74</v>
      </c>
      <c r="H103">
        <v>4418.6516210591453</v>
      </c>
      <c r="I103">
        <v>74</v>
      </c>
      <c r="J103">
        <v>4433.5623566287732</v>
      </c>
      <c r="K103">
        <v>74</v>
      </c>
      <c r="L103">
        <v>4529.5315105160089</v>
      </c>
      <c r="M103">
        <v>74</v>
      </c>
      <c r="N103">
        <v>4472.9096265354392</v>
      </c>
      <c r="O103">
        <v>74</v>
      </c>
      <c r="P103">
        <f t="shared" si="3"/>
        <v>4465.9955858334106</v>
      </c>
    </row>
    <row r="104" spans="3:16" x14ac:dyDescent="0.35">
      <c r="C104">
        <v>75</v>
      </c>
      <c r="D104">
        <v>4468.0951527173765</v>
      </c>
      <c r="E104">
        <v>75</v>
      </c>
      <c r="F104">
        <v>4438.6271847952321</v>
      </c>
      <c r="G104">
        <v>75</v>
      </c>
      <c r="H104">
        <v>4413.3459351661113</v>
      </c>
      <c r="I104">
        <v>75</v>
      </c>
      <c r="J104">
        <v>4431.8542242058948</v>
      </c>
      <c r="K104">
        <v>75</v>
      </c>
      <c r="L104">
        <v>4511.3512037672826</v>
      </c>
      <c r="M104">
        <v>75</v>
      </c>
      <c r="N104">
        <v>4470.993889821385</v>
      </c>
      <c r="O104">
        <v>75</v>
      </c>
      <c r="P104">
        <f t="shared" si="3"/>
        <v>4455.7112650788795</v>
      </c>
    </row>
    <row r="105" spans="3:16" x14ac:dyDescent="0.35">
      <c r="C105">
        <v>76</v>
      </c>
      <c r="D105">
        <v>4464.0534729109977</v>
      </c>
      <c r="E105">
        <v>76</v>
      </c>
      <c r="F105">
        <v>4435.350600612056</v>
      </c>
      <c r="G105">
        <v>76</v>
      </c>
      <c r="H105">
        <v>4407.7633745326921</v>
      </c>
      <c r="I105">
        <v>76</v>
      </c>
      <c r="J105">
        <v>4423.6462922696101</v>
      </c>
      <c r="K105">
        <v>76</v>
      </c>
      <c r="L105">
        <v>4511.7543170316112</v>
      </c>
      <c r="M105">
        <v>76</v>
      </c>
      <c r="N105">
        <v>4460.6885417461408</v>
      </c>
      <c r="O105">
        <v>76</v>
      </c>
      <c r="P105">
        <f t="shared" si="3"/>
        <v>4450.5427665171856</v>
      </c>
    </row>
    <row r="106" spans="3:16" x14ac:dyDescent="0.35">
      <c r="C106">
        <v>77</v>
      </c>
      <c r="D106">
        <v>4459.4002468994513</v>
      </c>
      <c r="E106">
        <v>77</v>
      </c>
      <c r="F106">
        <v>4432.7540966235174</v>
      </c>
      <c r="G106">
        <v>77</v>
      </c>
      <c r="H106">
        <v>4400.8472086586471</v>
      </c>
      <c r="I106">
        <v>77</v>
      </c>
      <c r="J106">
        <v>4420.9940648762749</v>
      </c>
      <c r="K106">
        <v>77</v>
      </c>
      <c r="L106">
        <v>4508.1284436645392</v>
      </c>
      <c r="M106">
        <v>77</v>
      </c>
      <c r="N106">
        <v>4457.1054099590547</v>
      </c>
      <c r="O106">
        <v>77</v>
      </c>
      <c r="P106">
        <f t="shared" si="3"/>
        <v>4446.5382451135811</v>
      </c>
    </row>
    <row r="107" spans="3:16" x14ac:dyDescent="0.35">
      <c r="C107">
        <v>78</v>
      </c>
      <c r="D107">
        <v>4456.0945881335674</v>
      </c>
      <c r="E107">
        <v>78</v>
      </c>
      <c r="F107">
        <v>4428.7821581767166</v>
      </c>
      <c r="G107">
        <v>78</v>
      </c>
      <c r="H107">
        <v>4394.4447407237867</v>
      </c>
      <c r="I107">
        <v>78</v>
      </c>
      <c r="J107">
        <v>4415.7721556759316</v>
      </c>
      <c r="K107">
        <v>78</v>
      </c>
      <c r="L107">
        <v>4504.7382721700869</v>
      </c>
      <c r="M107">
        <v>78</v>
      </c>
      <c r="N107">
        <v>4453.2028805642449</v>
      </c>
      <c r="O107">
        <v>78</v>
      </c>
      <c r="P107">
        <f t="shared" si="3"/>
        <v>4442.1724659073889</v>
      </c>
    </row>
    <row r="108" spans="3:16" x14ac:dyDescent="0.35">
      <c r="C108">
        <v>79</v>
      </c>
      <c r="D108">
        <v>4465.9967428346172</v>
      </c>
      <c r="E108">
        <v>79</v>
      </c>
      <c r="F108">
        <v>4422.9077407746499</v>
      </c>
      <c r="G108">
        <v>79</v>
      </c>
      <c r="H108">
        <v>4385.8337540160901</v>
      </c>
      <c r="I108">
        <v>79</v>
      </c>
      <c r="J108">
        <v>4412.9249554945191</v>
      </c>
      <c r="K108">
        <v>79</v>
      </c>
      <c r="L108">
        <v>4504.7510727940116</v>
      </c>
      <c r="M108">
        <v>79</v>
      </c>
      <c r="N108">
        <v>4447.9249552825886</v>
      </c>
      <c r="O108">
        <v>79</v>
      </c>
      <c r="P108">
        <f t="shared" si="3"/>
        <v>4440.05653686608</v>
      </c>
    </row>
    <row r="109" spans="3:16" x14ac:dyDescent="0.35">
      <c r="C109">
        <v>80</v>
      </c>
      <c r="D109">
        <v>4445.3729035799361</v>
      </c>
      <c r="E109">
        <v>80</v>
      </c>
      <c r="F109">
        <v>4413.6734289565366</v>
      </c>
      <c r="G109">
        <v>80</v>
      </c>
      <c r="H109">
        <v>4352.6823277214044</v>
      </c>
      <c r="I109">
        <v>80</v>
      </c>
      <c r="J109">
        <v>4408.8000089010957</v>
      </c>
      <c r="K109">
        <v>80</v>
      </c>
      <c r="L109">
        <v>4495.9044399515114</v>
      </c>
      <c r="M109">
        <v>80</v>
      </c>
      <c r="N109">
        <v>4443.3271727151732</v>
      </c>
      <c r="O109">
        <v>80</v>
      </c>
      <c r="P109">
        <f t="shared" si="3"/>
        <v>4426.6267136376091</v>
      </c>
    </row>
    <row r="110" spans="3:16" x14ac:dyDescent="0.35">
      <c r="C110">
        <v>81</v>
      </c>
      <c r="D110">
        <v>4446.8718640590696</v>
      </c>
      <c r="E110">
        <v>81</v>
      </c>
      <c r="F110">
        <v>4405.508132634809</v>
      </c>
      <c r="G110">
        <v>81</v>
      </c>
      <c r="H110">
        <v>4356.3907873655298</v>
      </c>
      <c r="I110">
        <v>81</v>
      </c>
      <c r="J110">
        <v>4390.2036413960313</v>
      </c>
      <c r="K110">
        <v>81</v>
      </c>
      <c r="L110">
        <v>4493.723309639463</v>
      </c>
      <c r="M110">
        <v>81</v>
      </c>
      <c r="N110">
        <v>4440.7302514347721</v>
      </c>
      <c r="O110">
        <v>81</v>
      </c>
      <c r="P110">
        <f t="shared" si="3"/>
        <v>4422.2379977549454</v>
      </c>
    </row>
    <row r="111" spans="3:16" x14ac:dyDescent="0.35">
      <c r="C111">
        <v>82</v>
      </c>
      <c r="D111">
        <v>4442.0801361443846</v>
      </c>
      <c r="E111">
        <v>82</v>
      </c>
      <c r="F111">
        <v>4403.757969236116</v>
      </c>
      <c r="G111">
        <v>82</v>
      </c>
      <c r="H111">
        <v>4351.2939849783406</v>
      </c>
      <c r="I111">
        <v>82</v>
      </c>
      <c r="J111">
        <v>4393.5648116358516</v>
      </c>
      <c r="K111">
        <v>82</v>
      </c>
      <c r="L111">
        <v>4490.4582218577016</v>
      </c>
      <c r="M111">
        <v>82</v>
      </c>
      <c r="N111">
        <v>4437.0780113255851</v>
      </c>
      <c r="O111">
        <v>82</v>
      </c>
      <c r="P111">
        <f t="shared" si="3"/>
        <v>4419.7055225296635</v>
      </c>
    </row>
    <row r="112" spans="3:16" x14ac:dyDescent="0.35">
      <c r="C112">
        <v>83</v>
      </c>
      <c r="D112">
        <v>4437.3166711172144</v>
      </c>
      <c r="E112">
        <v>83</v>
      </c>
      <c r="F112">
        <v>4397.6199486279593</v>
      </c>
      <c r="G112">
        <v>83</v>
      </c>
      <c r="H112">
        <v>4347.6833570695899</v>
      </c>
      <c r="I112">
        <v>83</v>
      </c>
      <c r="J112">
        <v>4392.0360973356064</v>
      </c>
      <c r="K112">
        <v>83</v>
      </c>
      <c r="L112">
        <v>4484.9582214338398</v>
      </c>
      <c r="M112">
        <v>83</v>
      </c>
      <c r="N112">
        <v>4434.368864813543</v>
      </c>
      <c r="O112">
        <v>83</v>
      </c>
      <c r="P112">
        <f t="shared" si="3"/>
        <v>4415.6638600662927</v>
      </c>
    </row>
    <row r="113" spans="3:16" x14ac:dyDescent="0.35">
      <c r="C113">
        <v>84</v>
      </c>
      <c r="D113">
        <v>4432.9837902562667</v>
      </c>
      <c r="E113">
        <v>84</v>
      </c>
      <c r="F113">
        <v>4392.5085666692103</v>
      </c>
      <c r="G113">
        <v>84</v>
      </c>
      <c r="H113">
        <v>4337.2950092401852</v>
      </c>
      <c r="I113">
        <v>84</v>
      </c>
      <c r="J113">
        <v>4391.4105060485072</v>
      </c>
      <c r="K113">
        <v>84</v>
      </c>
      <c r="L113">
        <v>4480.7230385798939</v>
      </c>
      <c r="M113">
        <v>84</v>
      </c>
      <c r="N113">
        <v>4430.840058111442</v>
      </c>
      <c r="O113">
        <v>84</v>
      </c>
      <c r="P113">
        <f t="shared" si="3"/>
        <v>4410.9601614842513</v>
      </c>
    </row>
    <row r="114" spans="3:16" x14ac:dyDescent="0.35">
      <c r="C114">
        <v>85</v>
      </c>
      <c r="D114">
        <v>4431.6642012749762</v>
      </c>
      <c r="E114">
        <v>85</v>
      </c>
      <c r="F114">
        <v>4388.605509142697</v>
      </c>
      <c r="G114">
        <v>85</v>
      </c>
      <c r="H114">
        <v>4329.2123638344228</v>
      </c>
      <c r="I114">
        <v>85</v>
      </c>
      <c r="J114">
        <v>4385.8266649288335</v>
      </c>
      <c r="K114">
        <v>85</v>
      </c>
      <c r="L114">
        <v>4476.3903700736673</v>
      </c>
      <c r="M114">
        <v>85</v>
      </c>
      <c r="N114">
        <v>4426.92247314836</v>
      </c>
      <c r="O114">
        <v>85</v>
      </c>
      <c r="P114">
        <f t="shared" si="3"/>
        <v>4406.4369304004931</v>
      </c>
    </row>
    <row r="115" spans="3:16" x14ac:dyDescent="0.35">
      <c r="C115">
        <v>86</v>
      </c>
      <c r="D115">
        <v>4418.8875691954254</v>
      </c>
      <c r="E115">
        <v>86</v>
      </c>
      <c r="F115">
        <v>4381.4244900943513</v>
      </c>
      <c r="G115">
        <v>86</v>
      </c>
      <c r="H115">
        <v>4327.2962187296016</v>
      </c>
      <c r="I115">
        <v>86</v>
      </c>
      <c r="J115">
        <v>4397.9510452429986</v>
      </c>
      <c r="K115">
        <v>86</v>
      </c>
      <c r="L115">
        <v>4471.8079573679879</v>
      </c>
      <c r="M115">
        <v>86</v>
      </c>
      <c r="N115">
        <v>4421.6581360257032</v>
      </c>
      <c r="O115">
        <v>86</v>
      </c>
      <c r="P115">
        <f t="shared" si="3"/>
        <v>4403.1709027760116</v>
      </c>
    </row>
    <row r="116" spans="3:16" x14ac:dyDescent="0.35">
      <c r="C116">
        <v>87</v>
      </c>
      <c r="D116">
        <v>4415.0125867856868</v>
      </c>
      <c r="E116">
        <v>87</v>
      </c>
      <c r="F116">
        <v>4376.049765604469</v>
      </c>
      <c r="G116">
        <v>87</v>
      </c>
      <c r="H116">
        <v>4320.366410018396</v>
      </c>
      <c r="I116">
        <v>87</v>
      </c>
      <c r="J116">
        <v>4379.9643776014509</v>
      </c>
      <c r="K116">
        <v>87</v>
      </c>
      <c r="L116">
        <v>4470.0857328145266</v>
      </c>
      <c r="M116">
        <v>87</v>
      </c>
      <c r="N116">
        <v>4420.5187580003903</v>
      </c>
      <c r="O116">
        <v>87</v>
      </c>
      <c r="P116">
        <f t="shared" si="3"/>
        <v>4396.9996051374874</v>
      </c>
    </row>
    <row r="117" spans="3:16" x14ac:dyDescent="0.35">
      <c r="C117">
        <v>88</v>
      </c>
      <c r="D117">
        <v>4408.7214043810354</v>
      </c>
      <c r="E117">
        <v>88</v>
      </c>
      <c r="F117">
        <v>4369.5636775938219</v>
      </c>
      <c r="G117">
        <v>88</v>
      </c>
      <c r="H117">
        <v>4315.6310722429916</v>
      </c>
      <c r="I117">
        <v>88</v>
      </c>
      <c r="J117">
        <v>4379.3805432635654</v>
      </c>
      <c r="K117">
        <v>88</v>
      </c>
      <c r="L117">
        <v>4467.2808838364572</v>
      </c>
      <c r="M117">
        <v>88</v>
      </c>
      <c r="N117">
        <v>4166.542358832854</v>
      </c>
      <c r="O117">
        <v>88</v>
      </c>
      <c r="P117">
        <f>AVERAGE(D117,F117,H117,J117,L117)</f>
        <v>4388.1155162635741</v>
      </c>
    </row>
    <row r="118" spans="3:16" x14ac:dyDescent="0.35">
      <c r="C118">
        <v>89</v>
      </c>
      <c r="D118">
        <v>4405.2354210642316</v>
      </c>
      <c r="E118">
        <v>89</v>
      </c>
      <c r="F118">
        <v>4368.0777580682079</v>
      </c>
      <c r="G118">
        <v>89</v>
      </c>
      <c r="H118">
        <v>4308.6594434271756</v>
      </c>
      <c r="I118">
        <v>89</v>
      </c>
      <c r="J118">
        <v>4375.9908030484139</v>
      </c>
      <c r="K118">
        <v>89</v>
      </c>
      <c r="L118">
        <v>4464.280670845943</v>
      </c>
      <c r="M118">
        <v>89</v>
      </c>
      <c r="N118">
        <v>4411.1728111780812</v>
      </c>
      <c r="O118">
        <v>89</v>
      </c>
      <c r="P118">
        <f t="shared" si="3"/>
        <v>4388.902817938676</v>
      </c>
    </row>
    <row r="119" spans="3:16" x14ac:dyDescent="0.35">
      <c r="C119">
        <v>90</v>
      </c>
      <c r="D119">
        <v>4397.6937584242514</v>
      </c>
      <c r="E119">
        <v>90</v>
      </c>
      <c r="F119">
        <v>4366.5081659079542</v>
      </c>
      <c r="G119">
        <v>90</v>
      </c>
      <c r="H119">
        <v>4301.0624183006539</v>
      </c>
      <c r="I119">
        <v>90</v>
      </c>
      <c r="J119">
        <v>4371.2687529140494</v>
      </c>
      <c r="K119">
        <v>90</v>
      </c>
      <c r="L119">
        <v>4455.2949808414514</v>
      </c>
      <c r="M119">
        <v>90</v>
      </c>
      <c r="N119">
        <v>4408.0065162381416</v>
      </c>
      <c r="O119">
        <v>90</v>
      </c>
      <c r="P119">
        <f t="shared" si="3"/>
        <v>4383.3057654377508</v>
      </c>
    </row>
    <row r="120" spans="3:16" x14ac:dyDescent="0.35">
      <c r="C120">
        <v>91</v>
      </c>
      <c r="D120">
        <v>4400.2214715631171</v>
      </c>
      <c r="E120">
        <v>91</v>
      </c>
      <c r="F120">
        <v>4355.9812375490619</v>
      </c>
      <c r="G120">
        <v>91</v>
      </c>
      <c r="H120">
        <v>4295.1033531700614</v>
      </c>
      <c r="I120">
        <v>91</v>
      </c>
      <c r="J120">
        <v>4367.4633438027176</v>
      </c>
      <c r="K120">
        <v>91</v>
      </c>
      <c r="L120">
        <v>4452.1141203173866</v>
      </c>
      <c r="M120">
        <v>91</v>
      </c>
      <c r="N120">
        <v>4399.4239558166546</v>
      </c>
      <c r="O120">
        <v>91</v>
      </c>
      <c r="P120">
        <f t="shared" si="3"/>
        <v>4378.3845803698332</v>
      </c>
    </row>
    <row r="121" spans="3:16" x14ac:dyDescent="0.35">
      <c r="C121">
        <v>92</v>
      </c>
      <c r="D121">
        <v>4393.1244169782049</v>
      </c>
      <c r="E121">
        <v>92</v>
      </c>
      <c r="F121">
        <v>4353.2460294753437</v>
      </c>
      <c r="G121">
        <v>92</v>
      </c>
      <c r="H121">
        <v>4288.0626878767071</v>
      </c>
      <c r="I121">
        <v>92</v>
      </c>
      <c r="J121">
        <v>4355.4497174961643</v>
      </c>
      <c r="K121">
        <v>92</v>
      </c>
      <c r="L121">
        <v>4452.2251742071667</v>
      </c>
      <c r="M121">
        <v>92</v>
      </c>
      <c r="N121">
        <v>4396.8134976645206</v>
      </c>
      <c r="O121">
        <v>92</v>
      </c>
      <c r="P121">
        <f t="shared" si="3"/>
        <v>4373.1535872830182</v>
      </c>
    </row>
    <row r="122" spans="3:16" x14ac:dyDescent="0.35">
      <c r="C122">
        <v>93</v>
      </c>
      <c r="D122">
        <v>4386.3885387791088</v>
      </c>
      <c r="E122">
        <v>93</v>
      </c>
      <c r="F122">
        <v>4347.6070736163038</v>
      </c>
      <c r="G122">
        <v>93</v>
      </c>
      <c r="H122">
        <v>4280.3691127726488</v>
      </c>
      <c r="I122">
        <v>93</v>
      </c>
      <c r="J122">
        <v>4354.7268471893731</v>
      </c>
      <c r="K122">
        <v>93</v>
      </c>
      <c r="L122">
        <v>4448.4472249773225</v>
      </c>
      <c r="M122">
        <v>93</v>
      </c>
      <c r="N122">
        <v>4394.4394375778847</v>
      </c>
      <c r="O122">
        <v>93</v>
      </c>
      <c r="P122">
        <f t="shared" si="3"/>
        <v>4368.6630391521076</v>
      </c>
    </row>
    <row r="123" spans="3:16" x14ac:dyDescent="0.35">
      <c r="C123">
        <v>94</v>
      </c>
      <c r="D123">
        <v>4381.5283631308121</v>
      </c>
      <c r="E123">
        <v>94</v>
      </c>
      <c r="F123">
        <v>4344.7179715249686</v>
      </c>
      <c r="G123">
        <v>94</v>
      </c>
      <c r="H123">
        <v>4277.4115069979571</v>
      </c>
      <c r="I123">
        <v>94</v>
      </c>
      <c r="J123">
        <v>4351.0328488593877</v>
      </c>
      <c r="K123">
        <v>94</v>
      </c>
      <c r="L123">
        <v>4442.1297582716616</v>
      </c>
      <c r="M123">
        <v>94</v>
      </c>
      <c r="N123">
        <v>4390.6758509024012</v>
      </c>
      <c r="O123">
        <v>94</v>
      </c>
      <c r="P123">
        <f t="shared" si="3"/>
        <v>4364.5827166145309</v>
      </c>
    </row>
    <row r="124" spans="3:16" x14ac:dyDescent="0.35">
      <c r="C124">
        <v>95</v>
      </c>
      <c r="D124">
        <v>4384.0563225333372</v>
      </c>
      <c r="E124">
        <v>95</v>
      </c>
      <c r="F124">
        <v>4335.8564552020553</v>
      </c>
      <c r="G124">
        <v>95</v>
      </c>
      <c r="H124">
        <v>4267.6336355467392</v>
      </c>
      <c r="I124">
        <v>95</v>
      </c>
      <c r="J124">
        <v>4346.5751973076303</v>
      </c>
      <c r="K124">
        <v>95</v>
      </c>
      <c r="L124">
        <v>4435.644166179226</v>
      </c>
      <c r="M124">
        <v>95</v>
      </c>
      <c r="N124">
        <v>4386.3840742436187</v>
      </c>
      <c r="O124">
        <v>95</v>
      </c>
      <c r="P124">
        <f t="shared" si="3"/>
        <v>4359.358308502101</v>
      </c>
    </row>
    <row r="125" spans="3:16" x14ac:dyDescent="0.35">
      <c r="C125">
        <v>96</v>
      </c>
      <c r="D125">
        <v>4382.3476927087304</v>
      </c>
      <c r="E125">
        <v>96</v>
      </c>
      <c r="F125">
        <v>4334.050137755059</v>
      </c>
      <c r="G125">
        <v>96</v>
      </c>
      <c r="H125">
        <v>4262.9112403889358</v>
      </c>
      <c r="I125">
        <v>96</v>
      </c>
      <c r="J125">
        <v>4343.5755277078406</v>
      </c>
      <c r="K125">
        <v>96</v>
      </c>
      <c r="L125">
        <v>4431.1859318176039</v>
      </c>
      <c r="M125">
        <v>96</v>
      </c>
      <c r="N125">
        <v>4383.2589712452209</v>
      </c>
      <c r="O125">
        <v>96</v>
      </c>
      <c r="P125">
        <f t="shared" si="3"/>
        <v>4356.2215836038986</v>
      </c>
    </row>
    <row r="126" spans="3:16" x14ac:dyDescent="0.35">
      <c r="C126">
        <v>97</v>
      </c>
      <c r="D126">
        <v>4377.7090371557188</v>
      </c>
      <c r="E126">
        <v>97</v>
      </c>
      <c r="F126">
        <v>4331.6886778057524</v>
      </c>
      <c r="G126">
        <v>97</v>
      </c>
      <c r="H126">
        <v>4257.3428024041441</v>
      </c>
      <c r="I126">
        <v>97</v>
      </c>
      <c r="J126">
        <v>4332.1457738867284</v>
      </c>
      <c r="K126">
        <v>97</v>
      </c>
      <c r="L126">
        <v>4426.9081175877182</v>
      </c>
      <c r="M126">
        <v>97</v>
      </c>
      <c r="N126">
        <v>4376.7867348236314</v>
      </c>
      <c r="O126">
        <v>97</v>
      </c>
      <c r="P126">
        <f t="shared" si="3"/>
        <v>4350.4301906106157</v>
      </c>
    </row>
    <row r="127" spans="3:16" x14ac:dyDescent="0.35">
      <c r="C127">
        <v>98</v>
      </c>
      <c r="D127">
        <v>4374.5010304078396</v>
      </c>
      <c r="E127">
        <v>98</v>
      </c>
      <c r="F127">
        <v>4325.7026001797176</v>
      </c>
      <c r="G127">
        <v>98</v>
      </c>
      <c r="H127">
        <v>4252.8013243559417</v>
      </c>
      <c r="I127">
        <v>98</v>
      </c>
      <c r="J127">
        <v>4327.8262014360434</v>
      </c>
      <c r="K127">
        <v>98</v>
      </c>
      <c r="L127">
        <v>4422.6723305188916</v>
      </c>
      <c r="M127">
        <v>98</v>
      </c>
      <c r="N127">
        <v>4373.2445663046883</v>
      </c>
      <c r="O127">
        <v>98</v>
      </c>
      <c r="P127">
        <f t="shared" si="3"/>
        <v>4346.1246755338543</v>
      </c>
    </row>
    <row r="128" spans="3:16" x14ac:dyDescent="0.35">
      <c r="C128">
        <v>99</v>
      </c>
      <c r="D128">
        <v>4368.8072730432423</v>
      </c>
      <c r="E128">
        <v>99</v>
      </c>
      <c r="F128">
        <v>4321.9949670659444</v>
      </c>
      <c r="G128">
        <v>99</v>
      </c>
      <c r="H128">
        <v>4247.2603966921833</v>
      </c>
      <c r="I128">
        <v>99</v>
      </c>
      <c r="J128">
        <v>4325.32586785687</v>
      </c>
      <c r="K128">
        <v>99</v>
      </c>
      <c r="L128">
        <v>4419.7013080372662</v>
      </c>
      <c r="M128">
        <v>99</v>
      </c>
      <c r="N128">
        <v>4369.2019453133607</v>
      </c>
      <c r="O128">
        <v>99</v>
      </c>
      <c r="P128">
        <f t="shared" si="3"/>
        <v>4342.0486263348112</v>
      </c>
    </row>
    <row r="129" spans="3:16" x14ac:dyDescent="0.35">
      <c r="C129">
        <v>100</v>
      </c>
      <c r="D129">
        <v>4359.7115671863212</v>
      </c>
      <c r="E129">
        <v>100</v>
      </c>
      <c r="F129">
        <v>4320.7955089731522</v>
      </c>
      <c r="G129">
        <v>100</v>
      </c>
      <c r="H129">
        <v>4239.7182972627006</v>
      </c>
      <c r="I129">
        <v>100</v>
      </c>
      <c r="J129">
        <v>4322.8111530734213</v>
      </c>
      <c r="K129">
        <v>100</v>
      </c>
      <c r="L129">
        <v>4415.6335999423554</v>
      </c>
      <c r="M129">
        <v>100</v>
      </c>
      <c r="N129">
        <v>4364.3970490747097</v>
      </c>
      <c r="O129">
        <v>100</v>
      </c>
      <c r="P129">
        <f t="shared" si="3"/>
        <v>4337.1778625854431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Avg. disch. Cap.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Lausenmeyer, Maximilian</dc:creator>
  <cp:lastModifiedBy>Lausenmeyer, Maximilian</cp:lastModifiedBy>
  <dcterms:created xsi:type="dcterms:W3CDTF">2015-06-05T18:19:34Z</dcterms:created>
  <dcterms:modified xsi:type="dcterms:W3CDTF">2026-02-18T09:49:53Z</dcterms:modified>
</cp:coreProperties>
</file>