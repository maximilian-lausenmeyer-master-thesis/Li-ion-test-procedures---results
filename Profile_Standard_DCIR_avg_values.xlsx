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Final results - Standard/"/>
    </mc:Choice>
  </mc:AlternateContent>
  <xr:revisionPtr revIDLastSave="41" documentId="11_AD4DB114E441178AC67DF427C6D6E330683EDF2F" xr6:coauthVersionLast="47" xr6:coauthVersionMax="47" xr10:uidLastSave="{8625B488-F993-4566-9B2E-14FDB33AA11F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" l="1"/>
  <c r="P35" i="1" l="1"/>
  <c r="P34" i="1"/>
  <c r="P33" i="1"/>
  <c r="P32" i="1"/>
  <c r="P31" i="1"/>
  <c r="P30" i="1"/>
  <c r="P29" i="1"/>
  <c r="P28" i="1"/>
  <c r="P27" i="1"/>
  <c r="P26" i="1"/>
  <c r="P25" i="1"/>
</calcChain>
</file>

<file path=xl/sharedStrings.xml><?xml version="1.0" encoding="utf-8"?>
<sst xmlns="http://schemas.openxmlformats.org/spreadsheetml/2006/main" count="9" uniqueCount="9">
  <si>
    <t>Avg. Values</t>
  </si>
  <si>
    <t>Init. DCIR</t>
  </si>
  <si>
    <t>Cell #1</t>
  </si>
  <si>
    <t>Cell #2</t>
  </si>
  <si>
    <t>Cell #3</t>
  </si>
  <si>
    <t>Cell #4</t>
  </si>
  <si>
    <t>Cell #5</t>
  </si>
  <si>
    <t>Cell #6</t>
  </si>
  <si>
    <t>-&gt; Avg. DCIR rise: 22.7%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</si>
</sst>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0" fontId="2" fillId="3" borderId="1" xfId="0" applyFont="1" applyFill="1" applyBorder="1"/>
    <xf numFmtId="0" fontId="1" fillId="4" borderId="0" xfId="0" applyFont="1" applyFill="1"/>
    <xf numFmtId="0" fontId="3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Standard profile</a:t>
            </a:r>
            <a:r>
              <a:rPr lang="pt-BR" sz="1400" b="1" baseline="0"/>
              <a:t> </a:t>
            </a:r>
            <a:r>
              <a:rPr lang="pt-BR" sz="1400" b="1"/>
              <a:t>- 100 cycles - DCIR cell 1-6</a:t>
            </a:r>
          </a:p>
        </c:rich>
      </c:tx>
      <c:layout>
        <c:manualLayout>
          <c:xMode val="edge"/>
          <c:yMode val="edge"/>
          <c:x val="0.23307675905356734"/>
          <c:y val="2.2088968666658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cell #1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Tabelle1!$D$25:$D$35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Tabelle1!$E$25:$E$35</c:f>
              <c:numCache>
                <c:formatCode>General</c:formatCode>
                <c:ptCount val="11"/>
                <c:pt idx="0">
                  <c:v>49.3</c:v>
                </c:pt>
                <c:pt idx="1">
                  <c:v>50.053410651695707</c:v>
                </c:pt>
                <c:pt idx="2">
                  <c:v>51.273247496273505</c:v>
                </c:pt>
                <c:pt idx="3">
                  <c:v>52.11254172630732</c:v>
                </c:pt>
                <c:pt idx="4">
                  <c:v>53.258049748236381</c:v>
                </c:pt>
                <c:pt idx="5">
                  <c:v>54.323154099997453</c:v>
                </c:pt>
                <c:pt idx="6">
                  <c:v>55.317119694777595</c:v>
                </c:pt>
                <c:pt idx="7">
                  <c:v>56.461611826391959</c:v>
                </c:pt>
                <c:pt idx="8">
                  <c:v>57.530901876957394</c:v>
                </c:pt>
                <c:pt idx="9">
                  <c:v>58.902071491246701</c:v>
                </c:pt>
                <c:pt idx="10">
                  <c:v>60.04654179224017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34-4CB2-B22F-1ADE6EAE95B4}"/>
            </c:ext>
          </c:extLst>
        </c:ser>
        <c:ser>
          <c:idx val="0"/>
          <c:order val="1"/>
          <c:tx>
            <c:v>cell #2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Tabelle1!$F$25:$F$35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Tabelle1!$G$25:$G$35</c:f>
              <c:numCache>
                <c:formatCode>General</c:formatCode>
                <c:ptCount val="11"/>
                <c:pt idx="0">
                  <c:v>49.2</c:v>
                </c:pt>
                <c:pt idx="1">
                  <c:v>50.509289283877841</c:v>
                </c:pt>
                <c:pt idx="2">
                  <c:v>51.502145922896382</c:v>
                </c:pt>
                <c:pt idx="3">
                  <c:v>52.493037805533092</c:v>
                </c:pt>
                <c:pt idx="4">
                  <c:v>53.86537471166519</c:v>
                </c:pt>
                <c:pt idx="5">
                  <c:v>54.554124940451359</c:v>
                </c:pt>
                <c:pt idx="6">
                  <c:v>55.469718645692872</c:v>
                </c:pt>
                <c:pt idx="7">
                  <c:v>56.68942890909257</c:v>
                </c:pt>
                <c:pt idx="8">
                  <c:v>57.909092643140852</c:v>
                </c:pt>
                <c:pt idx="9">
                  <c:v>58.900947984818778</c:v>
                </c:pt>
                <c:pt idx="10">
                  <c:v>60.199137832405917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34-4CB2-B22F-1ADE6EAE95B4}"/>
            </c:ext>
          </c:extLst>
        </c:ser>
        <c:ser>
          <c:idx val="1"/>
          <c:order val="2"/>
          <c:tx>
            <c:v>cell #3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Tabelle1!$H$25:$H$35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Tabelle1!$I$25:$I$35</c:f>
              <c:numCache>
                <c:formatCode>General</c:formatCode>
                <c:ptCount val="11"/>
                <c:pt idx="0">
                  <c:v>49.7</c:v>
                </c:pt>
                <c:pt idx="1">
                  <c:v>51.121623683875818</c:v>
                </c:pt>
                <c:pt idx="2">
                  <c:v>51.805367463295703</c:v>
                </c:pt>
                <c:pt idx="3">
                  <c:v>53.560188452610554</c:v>
                </c:pt>
                <c:pt idx="4">
                  <c:v>55.240820219319829</c:v>
                </c:pt>
                <c:pt idx="5">
                  <c:v>56.305790799000128</c:v>
                </c:pt>
                <c:pt idx="6">
                  <c:v>56.382085908500038</c:v>
                </c:pt>
                <c:pt idx="7">
                  <c:v>57.984283207500056</c:v>
                </c:pt>
                <c:pt idx="8">
                  <c:v>59.510185397249955</c:v>
                </c:pt>
                <c:pt idx="9">
                  <c:v>61.725098233563941</c:v>
                </c:pt>
                <c:pt idx="10">
                  <c:v>63.479952695220341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34-4CB2-B22F-1ADE6EAE95B4}"/>
            </c:ext>
          </c:extLst>
        </c:ser>
        <c:ser>
          <c:idx val="2"/>
          <c:order val="3"/>
          <c:tx>
            <c:v>cell #4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Tabelle1!$K$25:$K$35</c:f>
              <c:numCache>
                <c:formatCode>General</c:formatCode>
                <c:ptCount val="11"/>
                <c:pt idx="0">
                  <c:v>47.5</c:v>
                </c:pt>
                <c:pt idx="1">
                  <c:v>48.757224882263081</c:v>
                </c:pt>
                <c:pt idx="2">
                  <c:v>49.135924922635844</c:v>
                </c:pt>
                <c:pt idx="3">
                  <c:v>50.510252741947262</c:v>
                </c:pt>
                <c:pt idx="4">
                  <c:v>50.659952697249999</c:v>
                </c:pt>
                <c:pt idx="5">
                  <c:v>51.272269484706946</c:v>
                </c:pt>
                <c:pt idx="6">
                  <c:v>53.7117570764999</c:v>
                </c:pt>
                <c:pt idx="7">
                  <c:v>54.785113404531565</c:v>
                </c:pt>
                <c:pt idx="8">
                  <c:v>55.089272089045345</c:v>
                </c:pt>
                <c:pt idx="9">
                  <c:v>56.689428909092555</c:v>
                </c:pt>
                <c:pt idx="10">
                  <c:v>58.672058290527751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34-4CB2-B22F-1ADE6EAE95B4}"/>
            </c:ext>
          </c:extLst>
        </c:ser>
        <c:ser>
          <c:idx val="3"/>
          <c:order val="4"/>
          <c:tx>
            <c:v>cell #5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Tabelle1!$L$25:$L$35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Tabelle1!$M$25:$M$35</c:f>
              <c:numCache>
                <c:formatCode>General</c:formatCode>
                <c:ptCount val="11"/>
                <c:pt idx="0">
                  <c:v>48.4</c:v>
                </c:pt>
                <c:pt idx="1">
                  <c:v>49.593713043133143</c:v>
                </c:pt>
                <c:pt idx="2">
                  <c:v>50.506399130437131</c:v>
                </c:pt>
                <c:pt idx="3">
                  <c:v>51.346608682500076</c:v>
                </c:pt>
                <c:pt idx="4">
                  <c:v>52.338445105750154</c:v>
                </c:pt>
                <c:pt idx="5">
                  <c:v>53.406576638249987</c:v>
                </c:pt>
                <c:pt idx="6">
                  <c:v>54.172627563163104</c:v>
                </c:pt>
                <c:pt idx="7">
                  <c:v>55.239766528017654</c:v>
                </c:pt>
                <c:pt idx="8">
                  <c:v>56.155342768762239</c:v>
                </c:pt>
                <c:pt idx="9">
                  <c:v>57.146126995753846</c:v>
                </c:pt>
                <c:pt idx="10">
                  <c:v>58.446513047361925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34-4CB2-B22F-1ADE6EAE95B4}"/>
            </c:ext>
          </c:extLst>
        </c:ser>
        <c:ser>
          <c:idx val="5"/>
          <c:order val="5"/>
          <c:tx>
            <c:v>cell #6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Tabelle1!$N$25:$N$35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Tabelle1!$O$25:$O$35</c:f>
              <c:numCache>
                <c:formatCode>General</c:formatCode>
                <c:ptCount val="11"/>
                <c:pt idx="0">
                  <c:v>48</c:v>
                </c:pt>
                <c:pt idx="1">
                  <c:v>49.214100411929032</c:v>
                </c:pt>
                <c:pt idx="2">
                  <c:v>50.051501163630462</c:v>
                </c:pt>
                <c:pt idx="3">
                  <c:v>50.816419960324332</c:v>
                </c:pt>
                <c:pt idx="4">
                  <c:v>52.111547705368835</c:v>
                </c:pt>
                <c:pt idx="5">
                  <c:v>52.874527905947694</c:v>
                </c:pt>
                <c:pt idx="6">
                  <c:v>53.714830710667364</c:v>
                </c:pt>
                <c:pt idx="7">
                  <c:v>54.479903859036973</c:v>
                </c:pt>
                <c:pt idx="8">
                  <c:v>55.621256628432043</c:v>
                </c:pt>
                <c:pt idx="9">
                  <c:v>56.69267306337283</c:v>
                </c:pt>
                <c:pt idx="10">
                  <c:v>57.602807659999939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34-4CB2-B22F-1ADE6EAE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Standard profile - 100 cycles - Avg. DCIR</a:t>
            </a:r>
          </a:p>
        </c:rich>
      </c:tx>
      <c:layout>
        <c:manualLayout>
          <c:xMode val="edge"/>
          <c:yMode val="edge"/>
          <c:x val="0.23307675905356734"/>
          <c:y val="2.2088968666658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DCIR avg.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Tabelle1!$N$25:$N$35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Tabelle1!$P$25:$P$35</c:f>
              <c:numCache>
                <c:formatCode>General</c:formatCode>
                <c:ptCount val="11"/>
                <c:pt idx="0">
                  <c:v>48.683333333333337</c:v>
                </c:pt>
                <c:pt idx="1">
                  <c:v>49.874893659462437</c:v>
                </c:pt>
                <c:pt idx="2">
                  <c:v>50.712431016528171</c:v>
                </c:pt>
                <c:pt idx="3">
                  <c:v>51.806508228203768</c:v>
                </c:pt>
                <c:pt idx="4">
                  <c:v>52.912365031265061</c:v>
                </c:pt>
                <c:pt idx="5">
                  <c:v>53.78940731139226</c:v>
                </c:pt>
                <c:pt idx="6">
                  <c:v>54.794689933216809</c:v>
                </c:pt>
                <c:pt idx="7">
                  <c:v>55.940017955761796</c:v>
                </c:pt>
                <c:pt idx="8">
                  <c:v>56.969341900597975</c:v>
                </c:pt>
                <c:pt idx="9">
                  <c:v>58.342724446308104</c:v>
                </c:pt>
                <c:pt idx="10">
                  <c:v>59.741168552959344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E-4926-8E44-F379474D2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6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12</xdr:col>
      <xdr:colOff>66675</xdr:colOff>
      <xdr:row>20</xdr:row>
      <xdr:rowOff>190499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82301B4-91DA-4BB9-A967-717AE286B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24</xdr:col>
      <xdr:colOff>70597</xdr:colOff>
      <xdr:row>20</xdr:row>
      <xdr:rowOff>179293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7E2814F-3A7B-449D-A17A-C6078D033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4:U35"/>
  <sheetViews>
    <sheetView tabSelected="1" topLeftCell="H20" zoomScaleNormal="85" workbookViewId="0">
      <selection activeCell="T30" sqref="T30"/>
    </sheetView>
  </sheetViews>
  <sheetFormatPr baseColWidth="10" defaultColWidth="9.1796875" defaultRowHeight="14.5" x14ac:dyDescent="0.35"/>
  <cols>
    <col min="16" max="16" width="14.54296875" customWidth="1"/>
  </cols>
  <sheetData>
    <row r="24" spans="3:21" x14ac:dyDescent="0.35">
      <c r="D24" s="1" t="s">
        <v>2</v>
      </c>
      <c r="E24" s="1"/>
      <c r="F24" s="1" t="s">
        <v>3</v>
      </c>
      <c r="G24" s="1"/>
      <c r="H24" s="1" t="s">
        <v>4</v>
      </c>
      <c r="I24" s="1"/>
      <c r="J24" s="1" t="s">
        <v>5</v>
      </c>
      <c r="K24" s="1"/>
      <c r="L24" s="1" t="s">
        <v>6</v>
      </c>
      <c r="M24" s="1"/>
      <c r="N24" s="1" t="s">
        <v>7</v>
      </c>
      <c r="O24" s="1"/>
      <c r="P24" s="6" t="s">
        <v>0</v>
      </c>
      <c r="R24" s="7">
        <f>P35/P25</f>
        <v>1.2271380051960152</v>
      </c>
      <c r="S24" s="8" t="s">
        <v>8</v>
      </c>
      <c r="T24" s="7"/>
      <c r="U24" s="7"/>
    </row>
    <row r="25" spans="3:21" x14ac:dyDescent="0.35">
      <c r="C25" s="2" t="s">
        <v>1</v>
      </c>
      <c r="D25" s="3">
        <v>0</v>
      </c>
      <c r="E25" s="4">
        <v>49.3</v>
      </c>
      <c r="F25" s="3">
        <v>0</v>
      </c>
      <c r="G25" s="4">
        <v>49.2</v>
      </c>
      <c r="H25" s="3">
        <v>0</v>
      </c>
      <c r="I25" s="4">
        <v>49.7</v>
      </c>
      <c r="J25" s="3">
        <v>0</v>
      </c>
      <c r="K25" s="4">
        <v>47.5</v>
      </c>
      <c r="L25" s="3">
        <v>0</v>
      </c>
      <c r="M25" s="4">
        <v>48.4</v>
      </c>
      <c r="N25" s="3">
        <v>0</v>
      </c>
      <c r="O25" s="4">
        <v>48</v>
      </c>
      <c r="P25" s="5">
        <f t="shared" ref="P25:P35" si="0">AVERAGE(E25,G25,I25,K25,M25,O25)</f>
        <v>48.683333333333337</v>
      </c>
    </row>
    <row r="26" spans="3:21" x14ac:dyDescent="0.35">
      <c r="D26" s="3">
        <v>10</v>
      </c>
      <c r="E26" s="3">
        <v>50.053410651695707</v>
      </c>
      <c r="F26" s="3">
        <v>10</v>
      </c>
      <c r="G26" s="3">
        <v>50.509289283877841</v>
      </c>
      <c r="H26" s="3">
        <v>10</v>
      </c>
      <c r="I26" s="3">
        <v>51.121623683875818</v>
      </c>
      <c r="J26" s="3">
        <v>10</v>
      </c>
      <c r="K26" s="3">
        <v>48.757224882263081</v>
      </c>
      <c r="L26" s="3">
        <v>10</v>
      </c>
      <c r="M26" s="3">
        <v>49.593713043133143</v>
      </c>
      <c r="N26" s="3">
        <v>10</v>
      </c>
      <c r="O26" s="3">
        <v>49.214100411929032</v>
      </c>
      <c r="P26">
        <f>AVERAGE(E26,G26,I26,K26,M26,O26)</f>
        <v>49.874893659462437</v>
      </c>
    </row>
    <row r="27" spans="3:21" x14ac:dyDescent="0.35">
      <c r="D27" s="3">
        <v>20</v>
      </c>
      <c r="E27" s="3">
        <v>51.273247496273505</v>
      </c>
      <c r="F27" s="3">
        <v>20</v>
      </c>
      <c r="G27" s="3">
        <v>51.502145922896382</v>
      </c>
      <c r="H27" s="3">
        <v>20</v>
      </c>
      <c r="I27" s="3">
        <v>51.805367463295703</v>
      </c>
      <c r="J27" s="3">
        <v>20</v>
      </c>
      <c r="K27" s="3">
        <v>49.135924922635844</v>
      </c>
      <c r="L27" s="3">
        <v>20</v>
      </c>
      <c r="M27" s="3">
        <v>50.506399130437131</v>
      </c>
      <c r="N27" s="3">
        <v>20</v>
      </c>
      <c r="O27" s="3">
        <v>50.051501163630462</v>
      </c>
      <c r="P27">
        <f t="shared" si="0"/>
        <v>50.712431016528171</v>
      </c>
    </row>
    <row r="28" spans="3:21" x14ac:dyDescent="0.35">
      <c r="D28" s="3">
        <v>30</v>
      </c>
      <c r="E28" s="3">
        <v>52.11254172630732</v>
      </c>
      <c r="F28" s="3">
        <v>30</v>
      </c>
      <c r="G28" s="3">
        <v>52.493037805533092</v>
      </c>
      <c r="H28" s="3">
        <v>30</v>
      </c>
      <c r="I28" s="3">
        <v>53.560188452610554</v>
      </c>
      <c r="J28" s="3">
        <v>30</v>
      </c>
      <c r="K28" s="3">
        <v>50.510252741947262</v>
      </c>
      <c r="L28" s="3">
        <v>30</v>
      </c>
      <c r="M28" s="3">
        <v>51.346608682500076</v>
      </c>
      <c r="N28" s="3">
        <v>30</v>
      </c>
      <c r="O28" s="3">
        <v>50.816419960324332</v>
      </c>
      <c r="P28">
        <f t="shared" si="0"/>
        <v>51.806508228203768</v>
      </c>
    </row>
    <row r="29" spans="3:21" x14ac:dyDescent="0.35">
      <c r="D29" s="3">
        <v>40</v>
      </c>
      <c r="E29" s="3">
        <v>53.258049748236381</v>
      </c>
      <c r="F29" s="3">
        <v>40</v>
      </c>
      <c r="G29" s="3">
        <v>53.86537471166519</v>
      </c>
      <c r="H29" s="3">
        <v>40</v>
      </c>
      <c r="I29" s="3">
        <v>55.240820219319829</v>
      </c>
      <c r="J29" s="3">
        <v>40</v>
      </c>
      <c r="K29" s="3">
        <v>50.659952697249999</v>
      </c>
      <c r="L29" s="3">
        <v>40</v>
      </c>
      <c r="M29" s="3">
        <v>52.338445105750154</v>
      </c>
      <c r="N29" s="3">
        <v>40</v>
      </c>
      <c r="O29" s="3">
        <v>52.111547705368835</v>
      </c>
      <c r="P29">
        <f t="shared" si="0"/>
        <v>52.912365031265061</v>
      </c>
    </row>
    <row r="30" spans="3:21" x14ac:dyDescent="0.35">
      <c r="D30" s="3">
        <v>50</v>
      </c>
      <c r="E30" s="3">
        <v>54.323154099997453</v>
      </c>
      <c r="F30" s="3">
        <v>50</v>
      </c>
      <c r="G30" s="3">
        <v>54.554124940451359</v>
      </c>
      <c r="H30" s="3">
        <v>50</v>
      </c>
      <c r="I30" s="3">
        <v>56.305790799000128</v>
      </c>
      <c r="J30" s="3">
        <v>50</v>
      </c>
      <c r="K30" s="3">
        <v>51.272269484706946</v>
      </c>
      <c r="L30" s="3">
        <v>50</v>
      </c>
      <c r="M30" s="3">
        <v>53.406576638249987</v>
      </c>
      <c r="N30" s="3">
        <v>50</v>
      </c>
      <c r="O30" s="3">
        <v>52.874527905947694</v>
      </c>
      <c r="P30">
        <f t="shared" si="0"/>
        <v>53.78940731139226</v>
      </c>
    </row>
    <row r="31" spans="3:21" x14ac:dyDescent="0.35">
      <c r="D31" s="3">
        <v>60</v>
      </c>
      <c r="E31" s="3">
        <v>55.317119694777595</v>
      </c>
      <c r="F31" s="3">
        <v>60</v>
      </c>
      <c r="G31" s="3">
        <v>55.469718645692872</v>
      </c>
      <c r="H31" s="3">
        <v>60</v>
      </c>
      <c r="I31" s="3">
        <v>56.382085908500038</v>
      </c>
      <c r="J31" s="3">
        <v>60</v>
      </c>
      <c r="K31" s="3">
        <v>53.7117570764999</v>
      </c>
      <c r="L31" s="3">
        <v>60</v>
      </c>
      <c r="M31" s="3">
        <v>54.172627563163104</v>
      </c>
      <c r="N31" s="3">
        <v>60</v>
      </c>
      <c r="O31" s="3">
        <v>53.714830710667364</v>
      </c>
      <c r="P31">
        <f t="shared" si="0"/>
        <v>54.794689933216809</v>
      </c>
    </row>
    <row r="32" spans="3:21" x14ac:dyDescent="0.35">
      <c r="D32" s="3">
        <v>70</v>
      </c>
      <c r="E32" s="3">
        <v>56.461611826391959</v>
      </c>
      <c r="F32" s="3">
        <v>70</v>
      </c>
      <c r="G32" s="3">
        <v>56.68942890909257</v>
      </c>
      <c r="H32" s="3">
        <v>70</v>
      </c>
      <c r="I32" s="3">
        <v>57.984283207500056</v>
      </c>
      <c r="J32" s="3">
        <v>70</v>
      </c>
      <c r="K32" s="3">
        <v>54.785113404531565</v>
      </c>
      <c r="L32" s="3">
        <v>70</v>
      </c>
      <c r="M32" s="3">
        <v>55.239766528017654</v>
      </c>
      <c r="N32" s="3">
        <v>70</v>
      </c>
      <c r="O32" s="3">
        <v>54.479903859036973</v>
      </c>
      <c r="P32">
        <f t="shared" si="0"/>
        <v>55.940017955761796</v>
      </c>
    </row>
    <row r="33" spans="4:16" x14ac:dyDescent="0.35">
      <c r="D33" s="3">
        <v>80</v>
      </c>
      <c r="E33" s="3">
        <v>57.530901876957394</v>
      </c>
      <c r="F33" s="3">
        <v>80</v>
      </c>
      <c r="G33" s="3">
        <v>57.909092643140852</v>
      </c>
      <c r="H33" s="3">
        <v>80</v>
      </c>
      <c r="I33" s="3">
        <v>59.510185397249955</v>
      </c>
      <c r="J33" s="3">
        <v>80</v>
      </c>
      <c r="K33" s="3">
        <v>55.089272089045345</v>
      </c>
      <c r="L33" s="3">
        <v>80</v>
      </c>
      <c r="M33" s="3">
        <v>56.155342768762239</v>
      </c>
      <c r="N33" s="3">
        <v>80</v>
      </c>
      <c r="O33" s="3">
        <v>55.621256628432043</v>
      </c>
      <c r="P33">
        <f t="shared" si="0"/>
        <v>56.969341900597975</v>
      </c>
    </row>
    <row r="34" spans="4:16" x14ac:dyDescent="0.35">
      <c r="D34" s="3">
        <v>90</v>
      </c>
      <c r="E34" s="3">
        <v>58.902071491246701</v>
      </c>
      <c r="F34" s="3">
        <v>90</v>
      </c>
      <c r="G34" s="3">
        <v>58.900947984818778</v>
      </c>
      <c r="H34" s="3">
        <v>90</v>
      </c>
      <c r="I34" s="3">
        <v>61.725098233563941</v>
      </c>
      <c r="J34" s="3">
        <v>90</v>
      </c>
      <c r="K34" s="3">
        <v>56.689428909092555</v>
      </c>
      <c r="L34" s="3">
        <v>90</v>
      </c>
      <c r="M34" s="3">
        <v>57.146126995753846</v>
      </c>
      <c r="N34" s="3">
        <v>90</v>
      </c>
      <c r="O34" s="3">
        <v>56.69267306337283</v>
      </c>
      <c r="P34">
        <f t="shared" si="0"/>
        <v>58.342724446308104</v>
      </c>
    </row>
    <row r="35" spans="4:16" x14ac:dyDescent="0.35">
      <c r="D35" s="3">
        <v>100</v>
      </c>
      <c r="E35" s="3">
        <v>60.04654179224017</v>
      </c>
      <c r="F35" s="3">
        <v>100</v>
      </c>
      <c r="G35" s="3">
        <v>60.199137832405917</v>
      </c>
      <c r="H35" s="3">
        <v>100</v>
      </c>
      <c r="I35" s="3">
        <v>63.479952695220341</v>
      </c>
      <c r="J35" s="3">
        <v>100</v>
      </c>
      <c r="K35" s="3">
        <v>58.672058290527751</v>
      </c>
      <c r="L35" s="3">
        <v>100</v>
      </c>
      <c r="M35" s="3">
        <v>58.446513047361925</v>
      </c>
      <c r="N35" s="3">
        <v>100</v>
      </c>
      <c r="O35" s="3">
        <v>57.602807659999939</v>
      </c>
      <c r="P35" s="5">
        <f t="shared" si="0"/>
        <v>59.741168552959344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2026-02-17T14:53:50Z</dcterms:modified>
</cp:coreProperties>
</file>